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Par marque" sheetId="2" state="visible" r:id="rId2"/>
    <sheet xmlns:r="http://schemas.openxmlformats.org/officeDocument/2006/relationships" name="À savoir" sheetId="3" state="visible" r:id="rId3"/>
  </sheets>
  <definedNames>
    <definedName name="_xlnm._FilterDatabase" localSheetId="0" hidden="1">'Produits'!$A$4:$J$478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AE172A"/>
      <sz val="15"/>
    </font>
    <font>
      <i val="1"/>
      <color rgb="006B5A5E"/>
      <sz val="10"/>
    </font>
    <font>
      <i val="1"/>
      <color rgb="00B0898E"/>
    </font>
  </fonts>
  <fills count="3">
    <fill>
      <patternFill/>
    </fill>
    <fill>
      <patternFill patternType="gray125"/>
    </fill>
    <fill>
      <patternFill patternType="solid">
        <fgColor rgb="00AE172A"/>
      </patternFill>
    </fill>
  </fills>
  <borders count="2">
    <border>
      <left/>
      <right/>
      <top/>
      <bottom/>
      <diagonal/>
    </border>
    <border>
      <bottom style="thin">
        <color rgb="00EBD3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6" customWidth="1" min="3" max="3"/>
    <col width="18" customWidth="1" min="4" max="4"/>
    <col width="16" customWidth="1" min="5" max="5"/>
    <col width="16" customWidth="1" min="6" max="6"/>
    <col width="14" customWidth="1" min="7" max="7"/>
    <col width="40" customWidth="1" min="8" max="8"/>
    <col width="20" customWidth="1" min="9" max="9"/>
    <col width="30" customWidth="1" min="10" max="10"/>
  </cols>
  <sheetData>
    <row r="1">
      <c r="A1" s="1" t="inlineStr">
        <is>
          <t>Dream Cosmetics · liste des produits relevés en ligne (28/10/2026)</t>
        </is>
      </c>
    </row>
    <row r="2">
      <c r="A2" s="2" t="inlineStr">
        <is>
          <t>Classement : vos marques d’abord (Day by Day, Paw Paw, Cocopulp, Dermaskin, Biolight, Clear Therapy, Babymed, Dreamy, Sign, Slam, I Love), puis les autres gammes du site. Case vide = à confirmer.</t>
        </is>
      </c>
    </row>
    <row r="4">
      <c r="A4" s="3" t="inlineStr">
        <is>
          <t>Marque</t>
        </is>
      </c>
      <c r="B4" s="3" t="inlineStr">
        <is>
          <t>Sous-gamme</t>
        </is>
      </c>
      <c r="C4" s="3" t="inlineStr">
        <is>
          <t>Nom du produit</t>
        </is>
      </c>
      <c r="D4" s="3" t="inlineStr">
        <is>
          <t>Catégorie</t>
        </is>
      </c>
      <c r="E4" s="3" t="inlineStr">
        <is>
          <t>Type</t>
        </is>
      </c>
      <c r="F4" s="3" t="inlineStr">
        <is>
          <t>Format</t>
        </is>
      </c>
      <c r="G4" s="3" t="inlineStr">
        <is>
          <t>Photo</t>
        </is>
      </c>
      <c r="H4" s="3" t="inlineStr">
        <is>
          <t>Lien source</t>
        </is>
      </c>
      <c r="I4" s="3" t="inlineStr">
        <is>
          <t>Source</t>
        </is>
      </c>
      <c r="J4" s="3" t="inlineStr">
        <is>
          <t>Remarque</t>
        </is>
      </c>
    </row>
    <row r="5" ht="70" customHeight="1">
      <c r="A5" s="4" t="inlineStr">
        <is>
          <t>Day by Day</t>
        </is>
      </c>
      <c r="B5" s="4" t="inlineStr">
        <is>
          <t>Day by day</t>
        </is>
      </c>
      <c r="C5" s="4" t="inlineStr">
        <is>
          <t>Day by day - Vanity</t>
        </is>
      </c>
      <c r="D5" s="4" t="inlineStr">
        <is>
          <t>Visage et corps</t>
        </is>
      </c>
      <c r="E5" s="4" t="inlineStr">
        <is>
          <t>Coffret</t>
        </is>
      </c>
      <c r="F5" s="5" t="inlineStr">
        <is>
          <t>à confirmer</t>
        </is>
      </c>
      <c r="G5" s="4">
        <f>IMAGE("https://raw.githubusercontent.com/leslita06/dreamcosmetics-maquette/main/photos/292.jpg")</f>
        <v/>
      </c>
      <c r="H5" s="4" t="inlineStr">
        <is>
          <t>http://dreamcosmetics.net/fr/product/visage-et-corps/coffret/day-day-vanity</t>
        </is>
      </c>
      <c r="I5" s="4" t="inlineStr">
        <is>
          <t>Site Dream Cosmetics</t>
        </is>
      </c>
      <c r="J5" s="4" t="inlineStr"/>
    </row>
    <row r="6" ht="70" customHeight="1">
      <c r="A6" s="4" t="inlineStr">
        <is>
          <t>Day by Day</t>
        </is>
      </c>
      <c r="B6" s="4" t="inlineStr">
        <is>
          <t>Day by day</t>
        </is>
      </c>
      <c r="C6" s="4" t="inlineStr">
        <is>
          <t>Day by Day crème aloe vera &amp; glycérine</t>
        </is>
      </c>
      <c r="D6" s="4" t="inlineStr">
        <is>
          <t>Visage et corps</t>
        </is>
      </c>
      <c r="E6" s="4" t="inlineStr">
        <is>
          <t>Crème</t>
        </is>
      </c>
      <c r="F6" s="4" t="inlineStr">
        <is>
          <t>100 - 250 - 400 ml</t>
        </is>
      </c>
      <c r="G6" s="4">
        <f>IMAGE("https://raw.githubusercontent.com/leslita06/dreamcosmetics-maquette/main/photos/171.jpg")</f>
        <v/>
      </c>
      <c r="H6" s="4" t="inlineStr">
        <is>
          <t>http://dreamcosmetics.net/fr/product/visage-et-corps/cr%C3%A8me/day-day-cr%C3%A8me-aloe-vera-glyc%C3%A9rine</t>
        </is>
      </c>
      <c r="I6" s="4" t="inlineStr">
        <is>
          <t>Site Dream Cosmetics</t>
        </is>
      </c>
      <c r="J6" s="4" t="inlineStr"/>
    </row>
    <row r="7" ht="70" customHeight="1">
      <c r="A7" s="4" t="inlineStr">
        <is>
          <t>Day by Day</t>
        </is>
      </c>
      <c r="B7" s="4" t="inlineStr">
        <is>
          <t>Day by day</t>
        </is>
      </c>
      <c r="C7" s="4" t="inlineStr">
        <is>
          <t>Day by Day crème cacao</t>
        </is>
      </c>
      <c r="D7" s="4" t="inlineStr">
        <is>
          <t>Visage et corps</t>
        </is>
      </c>
      <c r="E7" s="4" t="inlineStr">
        <is>
          <t>Crème</t>
        </is>
      </c>
      <c r="F7" s="4" t="inlineStr">
        <is>
          <t>250 ml</t>
        </is>
      </c>
      <c r="G7" s="4">
        <f>IMAGE("https://raw.githubusercontent.com/leslita06/dreamcosmetics-maquette/main/photos/173.jpg")</f>
        <v/>
      </c>
      <c r="H7" s="4" t="inlineStr">
        <is>
          <t>http://dreamcosmetics.net/fr/product/visage-et-corps/cr%C3%A8me/day-day-cr%C3%A8me-cacao</t>
        </is>
      </c>
      <c r="I7" s="4" t="inlineStr">
        <is>
          <t>Site Dream Cosmetics</t>
        </is>
      </c>
      <c r="J7" s="4" t="inlineStr"/>
    </row>
    <row r="8" ht="70" customHeight="1">
      <c r="A8" s="4" t="inlineStr">
        <is>
          <t>Day by Day</t>
        </is>
      </c>
      <c r="B8" s="4" t="inlineStr">
        <is>
          <t>Day by day</t>
        </is>
      </c>
      <c r="C8" s="4" t="inlineStr">
        <is>
          <t>Day by day crème grenadine</t>
        </is>
      </c>
      <c r="D8" s="4" t="inlineStr">
        <is>
          <t>Visage et corps</t>
        </is>
      </c>
      <c r="E8" s="4" t="inlineStr">
        <is>
          <t>Crème</t>
        </is>
      </c>
      <c r="F8" s="4" t="inlineStr">
        <is>
          <t>250 ml</t>
        </is>
      </c>
      <c r="G8" s="4">
        <f>IMAGE("https://raw.githubusercontent.com/leslita06/dreamcosmetics-maquette/main/photos/236.jpg")</f>
        <v/>
      </c>
      <c r="H8" s="4" t="inlineStr">
        <is>
          <t>http://dreamcosmetics.net/fr/product/visage-et-corps/cr%C3%A8me/day-day-cr%C3%A8me-grenadine</t>
        </is>
      </c>
      <c r="I8" s="4" t="inlineStr">
        <is>
          <t>Site Dream Cosmetics</t>
        </is>
      </c>
      <c r="J8" s="4" t="inlineStr"/>
    </row>
    <row r="9" ht="70" customHeight="1">
      <c r="A9" s="4" t="inlineStr">
        <is>
          <t>Day by Day</t>
        </is>
      </c>
      <c r="B9" s="4" t="inlineStr">
        <is>
          <t>Day by day</t>
        </is>
      </c>
      <c r="C9" s="4" t="inlineStr">
        <is>
          <t>Day by Day crème hydratante amande douce &amp; glycérine</t>
        </is>
      </c>
      <c r="D9" s="4" t="inlineStr">
        <is>
          <t>Visage et corps</t>
        </is>
      </c>
      <c r="E9" s="4" t="inlineStr">
        <is>
          <t>Crème</t>
        </is>
      </c>
      <c r="F9" s="4" t="inlineStr">
        <is>
          <t>250 ml</t>
        </is>
      </c>
      <c r="G9" s="4">
        <f>IMAGE("https://raw.githubusercontent.com/leslita06/dreamcosmetics-maquette/main/photos/172.jpg")</f>
        <v/>
      </c>
      <c r="H9" s="4" t="inlineStr">
        <is>
          <t>http://dreamcosmetics.net/fr/product/visage-et-corps/cr%C3%A8me/day-day-cr%C3%A8me-hydratante-amande-douce-glyc%C3%A9rine</t>
        </is>
      </c>
      <c r="I9" s="4" t="inlineStr">
        <is>
          <t>Site Dream Cosmetics</t>
        </is>
      </c>
      <c r="J9" s="4" t="inlineStr"/>
    </row>
    <row r="10" ht="70" customHeight="1">
      <c r="A10" s="4" t="inlineStr">
        <is>
          <t>Day by Day</t>
        </is>
      </c>
      <c r="B10" s="4" t="inlineStr">
        <is>
          <t>Day by day</t>
        </is>
      </c>
      <c r="C10" s="4" t="inlineStr">
        <is>
          <t>Day by Day Eau de cologne Fresh</t>
        </is>
      </c>
      <c r="D10" s="4" t="inlineStr">
        <is>
          <t>Parfum</t>
        </is>
      </c>
      <c r="E10" s="4" t="inlineStr">
        <is>
          <t>Eau de cologne</t>
        </is>
      </c>
      <c r="F10" s="5" t="inlineStr">
        <is>
          <t>à confirmer</t>
        </is>
      </c>
      <c r="G10" s="4">
        <f>IMAGE("https://raw.githubusercontent.com/leslita06/dreamcosmetics-maquette/main/photos/174.jpg")</f>
        <v/>
      </c>
      <c r="H10" s="4" t="inlineStr">
        <is>
          <t>http://dreamcosmetics.net/fr/product/visage-et-corps/eau-de-cologne/day-day-eau-de-cologne-fresh</t>
        </is>
      </c>
      <c r="I10" s="4" t="inlineStr">
        <is>
          <t>Site Dream Cosmetics</t>
        </is>
      </c>
      <c r="J10" s="4" t="inlineStr"/>
    </row>
    <row r="11" ht="70" customHeight="1">
      <c r="A11" s="4" t="inlineStr">
        <is>
          <t>Day by Day</t>
        </is>
      </c>
      <c r="B11" s="4" t="inlineStr">
        <is>
          <t>Day by day</t>
        </is>
      </c>
      <c r="C11" s="4" t="inlineStr">
        <is>
          <t>Day by Day Eau de cologne Jade</t>
        </is>
      </c>
      <c r="D11" s="4" t="inlineStr">
        <is>
          <t>Parfum</t>
        </is>
      </c>
      <c r="E11" s="4" t="inlineStr">
        <is>
          <t>Eau de cologne</t>
        </is>
      </c>
      <c r="F11" s="5" t="inlineStr">
        <is>
          <t>à confirmer</t>
        </is>
      </c>
      <c r="G11" s="4">
        <f>IMAGE("https://raw.githubusercontent.com/leslita06/dreamcosmetics-maquette/main/photos/175.jpg")</f>
        <v/>
      </c>
      <c r="H11" s="4" t="inlineStr">
        <is>
          <t>http://dreamcosmetics.net/fr/product/visage-et-corps/eau-de-cologne/day-day-eau-de-cologne-jade</t>
        </is>
      </c>
      <c r="I11" s="4" t="inlineStr">
        <is>
          <t>Site Dream Cosmetics</t>
        </is>
      </c>
      <c r="J11" s="4" t="inlineStr"/>
    </row>
    <row r="12" ht="70" customHeight="1">
      <c r="A12" s="4" t="inlineStr">
        <is>
          <t>Day by Day</t>
        </is>
      </c>
      <c r="B12" s="4" t="inlineStr">
        <is>
          <t>Day by day</t>
        </is>
      </c>
      <c r="C12" s="4" t="inlineStr">
        <is>
          <t>Day by Day Eau de cologne Men</t>
        </is>
      </c>
      <c r="D12" s="4" t="inlineStr">
        <is>
          <t>Parfum</t>
        </is>
      </c>
      <c r="E12" s="4" t="inlineStr">
        <is>
          <t>Eau de cologne</t>
        </is>
      </c>
      <c r="F12" s="4" t="inlineStr">
        <is>
          <t>500 - 750 ml</t>
        </is>
      </c>
      <c r="G12" s="4">
        <f>IMAGE("https://raw.githubusercontent.com/leslita06/dreamcosmetics-maquette/main/photos/176.jpg")</f>
        <v/>
      </c>
      <c r="H12" s="4" t="inlineStr">
        <is>
          <t>http://dreamcosmetics.net/fr/product/visage-et-corps/eau-de-cologne/day-day-eau-de-cologne-men</t>
        </is>
      </c>
      <c r="I12" s="4" t="inlineStr">
        <is>
          <t>Site Dream Cosmetics</t>
        </is>
      </c>
      <c r="J12" s="4" t="inlineStr"/>
    </row>
    <row r="13" ht="70" customHeight="1">
      <c r="A13" s="4" t="inlineStr">
        <is>
          <t>Day by Day</t>
        </is>
      </c>
      <c r="B13" s="4" t="inlineStr">
        <is>
          <t>Day by day</t>
        </is>
      </c>
      <c r="C13" s="4" t="inlineStr">
        <is>
          <t>Day by Day Eau de cologne Rose</t>
        </is>
      </c>
      <c r="D13" s="4" t="inlineStr">
        <is>
          <t>Parfum</t>
        </is>
      </c>
      <c r="E13" s="4" t="inlineStr">
        <is>
          <t>Eau de cologne</t>
        </is>
      </c>
      <c r="F13" s="4" t="inlineStr">
        <is>
          <t>500 - 750 ml</t>
        </is>
      </c>
      <c r="G13" s="4">
        <f>IMAGE("https://raw.githubusercontent.com/leslita06/dreamcosmetics-maquette/main/photos/177.jpg")</f>
        <v/>
      </c>
      <c r="H13" s="4" t="inlineStr">
        <is>
          <t>http://dreamcosmetics.net/fr/product/visage-et-corps/eau-de-cologne/day-day-eau-de-cologne-rose</t>
        </is>
      </c>
      <c r="I13" s="4" t="inlineStr">
        <is>
          <t>Site Dream Cosmetics</t>
        </is>
      </c>
      <c r="J13" s="4" t="inlineStr"/>
    </row>
    <row r="14" ht="70" customHeight="1">
      <c r="A14" s="4" t="inlineStr">
        <is>
          <t>Day by Day</t>
        </is>
      </c>
      <c r="B14" s="4" t="inlineStr">
        <is>
          <t>Day by day</t>
        </is>
      </c>
      <c r="C14" s="4" t="inlineStr">
        <is>
          <t>Day by day gel douche anti moustique</t>
        </is>
      </c>
      <c r="D14" s="4" t="inlineStr">
        <is>
          <t>Corps (douche)</t>
        </is>
      </c>
      <c r="E14" s="4" t="inlineStr">
        <is>
          <t>Gel douche</t>
        </is>
      </c>
      <c r="F14" s="5" t="inlineStr">
        <is>
          <t>à confirmer</t>
        </is>
      </c>
      <c r="G14" s="4">
        <f>IMAGE("https://raw.githubusercontent.com/leslita06/dreamcosmetics-maquette/main/photos/307.jpg")</f>
        <v/>
      </c>
      <c r="H14" s="4" t="inlineStr">
        <is>
          <t>http://dreamcosmetics.net/fr/product/visage-et-corps/gel-douche/day-day-gel-douche-anti-moustique</t>
        </is>
      </c>
      <c r="I14" s="4" t="inlineStr">
        <is>
          <t>Site Dream Cosmetics</t>
        </is>
      </c>
      <c r="J14" s="4" t="inlineStr"/>
    </row>
    <row r="15" ht="70" customHeight="1">
      <c r="A15" s="4" t="inlineStr">
        <is>
          <t>Day by Day</t>
        </is>
      </c>
      <c r="B15" s="4" t="inlineStr">
        <is>
          <t>Day by day</t>
        </is>
      </c>
      <c r="C15" s="4" t="inlineStr">
        <is>
          <t>DAY BY DAY Glycérine</t>
        </is>
      </c>
      <c r="D15" s="4" t="inlineStr">
        <is>
          <t>Visage et corps</t>
        </is>
      </c>
      <c r="E15" s="4" t="inlineStr">
        <is>
          <t>Huile</t>
        </is>
      </c>
      <c r="F15" s="5" t="inlineStr">
        <is>
          <t>à confirmer</t>
        </is>
      </c>
      <c r="G15" s="4">
        <f>IMAGE("https://raw.githubusercontent.com/leslita06/dreamcosmetics-maquette/main/photos/416.jpg")</f>
        <v/>
      </c>
      <c r="H15" s="4" t="inlineStr">
        <is>
          <t>http://dreamcosmetics.net/fr/product/visage-et-corps/huile/day-day-glyc%C3%A9rine</t>
        </is>
      </c>
      <c r="I15" s="4" t="inlineStr">
        <is>
          <t>Site Dream Cosmetics</t>
        </is>
      </c>
      <c r="J15" s="4" t="inlineStr"/>
    </row>
    <row r="16" ht="70" customHeight="1">
      <c r="A16" s="4" t="inlineStr">
        <is>
          <t>Day by Day</t>
        </is>
      </c>
      <c r="B16" s="4" t="inlineStr">
        <is>
          <t>Day by day</t>
        </is>
      </c>
      <c r="C16" s="4" t="inlineStr">
        <is>
          <t>Day by Day huile</t>
        </is>
      </c>
      <c r="D16" s="4" t="inlineStr">
        <is>
          <t>Visage et corps</t>
        </is>
      </c>
      <c r="E16" s="4" t="inlineStr">
        <is>
          <t>Huile</t>
        </is>
      </c>
      <c r="F16" s="5" t="inlineStr">
        <is>
          <t>à confirmer</t>
        </is>
      </c>
      <c r="G16" s="4">
        <f>IMAGE("https://raw.githubusercontent.com/leslita06/dreamcosmetics-maquette/main/photos/178.jpg")</f>
        <v/>
      </c>
      <c r="H16" s="4" t="inlineStr">
        <is>
          <t>http://dreamcosmetics.net/fr/product/visage-et-corps/huile/day-day-huile</t>
        </is>
      </c>
      <c r="I16" s="4" t="inlineStr">
        <is>
          <t>Site Dream Cosmetics</t>
        </is>
      </c>
      <c r="J16" s="4" t="inlineStr"/>
    </row>
    <row r="17" ht="70" customHeight="1">
      <c r="A17" s="4" t="inlineStr">
        <is>
          <t>Day by Day</t>
        </is>
      </c>
      <c r="B17" s="4" t="inlineStr">
        <is>
          <t>Day by day</t>
        </is>
      </c>
      <c r="C17" s="4" t="inlineStr">
        <is>
          <t>Day by day Lait aloe vera &amp; glycérine</t>
        </is>
      </c>
      <c r="D17" s="4" t="inlineStr">
        <is>
          <t>Visage et corps</t>
        </is>
      </c>
      <c r="E17" s="4" t="inlineStr">
        <is>
          <t>Lait</t>
        </is>
      </c>
      <c r="F17" s="5" t="inlineStr">
        <is>
          <t>à confirmer</t>
        </is>
      </c>
      <c r="G17" s="4">
        <f>IMAGE("https://raw.githubusercontent.com/leslita06/dreamcosmetics-maquette/main/photos/179.jpg")</f>
        <v/>
      </c>
      <c r="H17" s="4" t="inlineStr">
        <is>
          <t>http://dreamcosmetics.net/fr/product/visage-et-corps/lait/day-day-lait-aloe-vera-glyc%C3%A9rine</t>
        </is>
      </c>
      <c r="I17" s="4" t="inlineStr">
        <is>
          <t>Site Dream Cosmetics</t>
        </is>
      </c>
      <c r="J17" s="4" t="inlineStr"/>
    </row>
    <row r="18" ht="70" customHeight="1">
      <c r="A18" s="4" t="inlineStr">
        <is>
          <t>Day by Day</t>
        </is>
      </c>
      <c r="B18" s="4" t="inlineStr">
        <is>
          <t>Day by day</t>
        </is>
      </c>
      <c r="C18" s="4" t="inlineStr">
        <is>
          <t>Day by Day lait amande</t>
        </is>
      </c>
      <c r="D18" s="4" t="inlineStr">
        <is>
          <t>Visage et corps</t>
        </is>
      </c>
      <c r="E18" s="4" t="inlineStr">
        <is>
          <t>Lait</t>
        </is>
      </c>
      <c r="F18" s="5" t="inlineStr">
        <is>
          <t>à confirmer</t>
        </is>
      </c>
      <c r="G18" s="4">
        <f>IMAGE("https://raw.githubusercontent.com/leslita06/dreamcosmetics-maquette/main/photos/180.jpg")</f>
        <v/>
      </c>
      <c r="H18" s="4" t="inlineStr">
        <is>
          <t>http://dreamcosmetics.net/fr/product/visage-et-corps/lait/day-day-lait-amande</t>
        </is>
      </c>
      <c r="I18" s="4" t="inlineStr">
        <is>
          <t>Site Dream Cosmetics</t>
        </is>
      </c>
      <c r="J18" s="4" t="inlineStr"/>
    </row>
    <row r="19" ht="70" customHeight="1">
      <c r="A19" s="4" t="inlineStr">
        <is>
          <t>Day by Day</t>
        </is>
      </c>
      <c r="B19" s="4" t="inlineStr">
        <is>
          <t>Day by day</t>
        </is>
      </c>
      <c r="C19" s="4" t="inlineStr">
        <is>
          <t>Day by Day Lait cacao</t>
        </is>
      </c>
      <c r="D19" s="4" t="inlineStr">
        <is>
          <t>Visage et corps</t>
        </is>
      </c>
      <c r="E19" s="4" t="inlineStr">
        <is>
          <t>Lait</t>
        </is>
      </c>
      <c r="F19" s="4" t="inlineStr">
        <is>
          <t>500 - 750 ml</t>
        </is>
      </c>
      <c r="G19" s="4">
        <f>IMAGE("https://raw.githubusercontent.com/leslita06/dreamcosmetics-maquette/main/photos/181.jpg")</f>
        <v/>
      </c>
      <c r="H19" s="4" t="inlineStr">
        <is>
          <t>http://dreamcosmetics.net/fr/product/visage-et-corps/lait/day-day-lait-cacao</t>
        </is>
      </c>
      <c r="I19" s="4" t="inlineStr">
        <is>
          <t>Site Dream Cosmetics</t>
        </is>
      </c>
      <c r="J19" s="4" t="inlineStr"/>
    </row>
    <row r="20" ht="70" customHeight="1">
      <c r="A20" s="4" t="inlineStr">
        <is>
          <t>Day by Day</t>
        </is>
      </c>
      <c r="B20" s="4" t="inlineStr">
        <is>
          <t>Day by day</t>
        </is>
      </c>
      <c r="C20" s="4" t="inlineStr">
        <is>
          <t>Day by Day Lait grenadine</t>
        </is>
      </c>
      <c r="D20" s="4" t="inlineStr">
        <is>
          <t>Visage et corps</t>
        </is>
      </c>
      <c r="E20" s="4" t="inlineStr">
        <is>
          <t>Lait</t>
        </is>
      </c>
      <c r="F20" s="5" t="inlineStr">
        <is>
          <t>à confirmer</t>
        </is>
      </c>
      <c r="G20" s="4">
        <f>IMAGE("https://raw.githubusercontent.com/leslita06/dreamcosmetics-maquette/main/photos/182.jpg")</f>
        <v/>
      </c>
      <c r="H20" s="4" t="inlineStr">
        <is>
          <t>http://dreamcosmetics.net/fr/product/visage-et-corps/lait/day-day-lait-grenadine</t>
        </is>
      </c>
      <c r="I20" s="4" t="inlineStr">
        <is>
          <t>Site Dream Cosmetics</t>
        </is>
      </c>
      <c r="J20" s="4" t="inlineStr"/>
    </row>
    <row r="21" ht="70" customHeight="1">
      <c r="A21" s="4" t="inlineStr">
        <is>
          <t>Day by Day</t>
        </is>
      </c>
      <c r="B21" s="4" t="inlineStr">
        <is>
          <t>Day by day</t>
        </is>
      </c>
      <c r="C21" s="4" t="inlineStr">
        <is>
          <t>Day by Day pommade aloe vera</t>
        </is>
      </c>
      <c r="D21" s="4" t="inlineStr">
        <is>
          <t>Visage et corps</t>
        </is>
      </c>
      <c r="E21" s="4" t="inlineStr">
        <is>
          <t>Pommade</t>
        </is>
      </c>
      <c r="F21" s="4" t="inlineStr">
        <is>
          <t>100 - 250 - 400 ml</t>
        </is>
      </c>
      <c r="G21" s="4">
        <f>IMAGE("https://raw.githubusercontent.com/leslita06/dreamcosmetics-maquette/main/photos/183.jpg")</f>
        <v/>
      </c>
      <c r="H21" s="4" t="inlineStr">
        <is>
          <t>http://dreamcosmetics.net/fr/product/visage-et-corps/pommade/day-day-pommade-aloe-vera</t>
        </is>
      </c>
      <c r="I21" s="4" t="inlineStr">
        <is>
          <t>Site Dream Cosmetics</t>
        </is>
      </c>
      <c r="J21" s="4" t="inlineStr"/>
    </row>
    <row r="22" ht="70" customHeight="1">
      <c r="A22" s="4" t="inlineStr">
        <is>
          <t>Day by Day</t>
        </is>
      </c>
      <c r="B22" s="4" t="inlineStr">
        <is>
          <t>Day by day</t>
        </is>
      </c>
      <c r="C22" s="4" t="inlineStr">
        <is>
          <t>Day by day pommade amande</t>
        </is>
      </c>
      <c r="D22" s="4" t="inlineStr">
        <is>
          <t>Visage et corps</t>
        </is>
      </c>
      <c r="E22" s="4" t="inlineStr">
        <is>
          <t>Pommade</t>
        </is>
      </c>
      <c r="F22" s="4" t="inlineStr">
        <is>
          <t>100 - 250 - 400 ml</t>
        </is>
      </c>
      <c r="G22" s="4">
        <f>IMAGE("https://raw.githubusercontent.com/leslita06/dreamcosmetics-maquette/main/photos/308.jpg")</f>
        <v/>
      </c>
      <c r="H22" s="4" t="inlineStr">
        <is>
          <t>http://dreamcosmetics.net/fr/product/visage-et-corps/pommade/day-day-pommade-amande</t>
        </is>
      </c>
      <c r="I22" s="4" t="inlineStr">
        <is>
          <t>Site Dream Cosmetics</t>
        </is>
      </c>
      <c r="J22" s="4" t="inlineStr"/>
    </row>
    <row r="23" ht="70" customHeight="1">
      <c r="A23" s="4" t="inlineStr">
        <is>
          <t>Day by Day</t>
        </is>
      </c>
      <c r="B23" s="4" t="inlineStr">
        <is>
          <t>Day by day</t>
        </is>
      </c>
      <c r="C23" s="4" t="inlineStr">
        <is>
          <t>Day by Day pommade cacao</t>
        </is>
      </c>
      <c r="D23" s="4" t="inlineStr">
        <is>
          <t>Visage et corps</t>
        </is>
      </c>
      <c r="E23" s="4" t="inlineStr">
        <is>
          <t>Pommade</t>
        </is>
      </c>
      <c r="F23" s="5" t="inlineStr">
        <is>
          <t>à confirmer</t>
        </is>
      </c>
      <c r="G23" s="4">
        <f>IMAGE("https://raw.githubusercontent.com/leslita06/dreamcosmetics-maquette/main/photos/184.jpg")</f>
        <v/>
      </c>
      <c r="H23" s="4" t="inlineStr">
        <is>
          <t>http://dreamcosmetics.net/fr/product/visage-et-corps/pommade/day-day-pommade-cacao</t>
        </is>
      </c>
      <c r="I23" s="4" t="inlineStr">
        <is>
          <t>Site Dream Cosmetics</t>
        </is>
      </c>
      <c r="J23" s="4" t="inlineStr"/>
    </row>
    <row r="24" ht="70" customHeight="1">
      <c r="A24" s="4" t="inlineStr">
        <is>
          <t>Day by Day</t>
        </is>
      </c>
      <c r="B24" s="4" t="inlineStr">
        <is>
          <t>Day by day</t>
        </is>
      </c>
      <c r="C24" s="4" t="inlineStr">
        <is>
          <t>Day by Day pommade grenadine</t>
        </is>
      </c>
      <c r="D24" s="4" t="inlineStr">
        <is>
          <t>Visage et corps</t>
        </is>
      </c>
      <c r="E24" s="4" t="inlineStr">
        <is>
          <t>Pommade</t>
        </is>
      </c>
      <c r="F24" s="5" t="inlineStr">
        <is>
          <t>à confirmer</t>
        </is>
      </c>
      <c r="G24" s="4">
        <f>IMAGE("https://raw.githubusercontent.com/leslita06/dreamcosmetics-maquette/main/photos/185.jpg")</f>
        <v/>
      </c>
      <c r="H24" s="4" t="inlineStr">
        <is>
          <t>http://dreamcosmetics.net/fr/product/visage-et-corps/pommade/day-day-pommade-grenadine</t>
        </is>
      </c>
      <c r="I24" s="4" t="inlineStr">
        <is>
          <t>Site Dream Cosmetics</t>
        </is>
      </c>
      <c r="J24" s="4" t="inlineStr"/>
    </row>
    <row r="25" ht="70" customHeight="1">
      <c r="A25" s="4" t="inlineStr">
        <is>
          <t>Day by Day</t>
        </is>
      </c>
      <c r="B25" s="4" t="inlineStr">
        <is>
          <t>Day by day</t>
        </is>
      </c>
      <c r="C25" s="4" t="inlineStr">
        <is>
          <t>DAY BY DAY Pommade hydratante beurre de karité</t>
        </is>
      </c>
      <c r="D25" s="4" t="inlineStr">
        <is>
          <t>Visage et corps</t>
        </is>
      </c>
      <c r="E25" s="4" t="inlineStr">
        <is>
          <t>Pommade</t>
        </is>
      </c>
      <c r="F25" s="4" t="inlineStr">
        <is>
          <t>250 - 400 ml</t>
        </is>
      </c>
      <c r="G25" s="4">
        <f>IMAGE("https://raw.githubusercontent.com/leslita06/dreamcosmetics-maquette/main/photos/415.jpg")</f>
        <v/>
      </c>
      <c r="H25" s="4" t="inlineStr">
        <is>
          <t>http://dreamcosmetics.net/fr/product/visage-et-corps/pommade/day-day-pommade-hydratante-beurre-de-karit%C3%A9</t>
        </is>
      </c>
      <c r="I25" s="4" t="inlineStr">
        <is>
          <t>Site Dream Cosmetics</t>
        </is>
      </c>
      <c r="J25" s="4" t="inlineStr"/>
    </row>
    <row r="26" ht="70" customHeight="1">
      <c r="A26" s="4" t="inlineStr">
        <is>
          <t>Day by Day</t>
        </is>
      </c>
      <c r="B26" s="4" t="inlineStr">
        <is>
          <t>Day by day</t>
        </is>
      </c>
      <c r="C26" s="4" t="inlineStr">
        <is>
          <t>Day by day Rose divine</t>
        </is>
      </c>
      <c r="D26" s="4" t="inlineStr">
        <is>
          <t>Corps (douche)</t>
        </is>
      </c>
      <c r="E26" s="4" t="inlineStr">
        <is>
          <t>Gel douche</t>
        </is>
      </c>
      <c r="F26" s="4" t="inlineStr">
        <is>
          <t>175 ml</t>
        </is>
      </c>
      <c r="G26" s="4">
        <f>IMAGE("https://raw.githubusercontent.com/leslita06/dreamcosmetics-maquette/main/photos/306.jpg")</f>
        <v/>
      </c>
      <c r="H26" s="4" t="inlineStr">
        <is>
          <t>http://dreamcosmetics.net/fr/product/visage-et-corps/gel-douche/day-day-rose-divine</t>
        </is>
      </c>
      <c r="I26" s="4" t="inlineStr">
        <is>
          <t>Site Dream Cosmetics</t>
        </is>
      </c>
      <c r="J26" s="4" t="inlineStr"/>
    </row>
    <row r="27" ht="70" customHeight="1">
      <c r="A27" s="4" t="inlineStr">
        <is>
          <t>Day by Day</t>
        </is>
      </c>
      <c r="B27" s="4" t="inlineStr">
        <is>
          <t>Day by day</t>
        </is>
      </c>
      <c r="C27" s="4" t="inlineStr">
        <is>
          <t>Day by day rêve de miel</t>
        </is>
      </c>
      <c r="D27" s="4" t="inlineStr">
        <is>
          <t>Corps (douche)</t>
        </is>
      </c>
      <c r="E27" s="4" t="inlineStr">
        <is>
          <t>Gel douche</t>
        </is>
      </c>
      <c r="F27" s="4" t="inlineStr">
        <is>
          <t>750 ml</t>
        </is>
      </c>
      <c r="G27" s="4">
        <f>IMAGE("https://raw.githubusercontent.com/leslita06/dreamcosmetics-maquette/main/photos/305.jpg")</f>
        <v/>
      </c>
      <c r="H27" s="4" t="inlineStr">
        <is>
          <t>http://dreamcosmetics.net/fr/product/visage-et-corps/gel-douche/day-day-r%C3%AAve-de-miel</t>
        </is>
      </c>
      <c r="I27" s="4" t="inlineStr">
        <is>
          <t>Site Dream Cosmetics</t>
        </is>
      </c>
      <c r="J27" s="4" t="inlineStr"/>
    </row>
    <row r="28" ht="70" customHeight="1">
      <c r="A28" s="4" t="inlineStr">
        <is>
          <t>Day by Day</t>
        </is>
      </c>
      <c r="B28" s="4" t="inlineStr">
        <is>
          <t>Day by day</t>
        </is>
      </c>
      <c r="C28" s="4" t="inlineStr">
        <is>
          <t>Day by Day Savon Aloe vera</t>
        </is>
      </c>
      <c r="D28" s="4" t="inlineStr">
        <is>
          <t>Savon</t>
        </is>
      </c>
      <c r="E28" s="4" t="inlineStr">
        <is>
          <t>Savon</t>
        </is>
      </c>
      <c r="F28" s="4" t="inlineStr">
        <is>
          <t>200 g</t>
        </is>
      </c>
      <c r="G28" s="4">
        <f>IMAGE("https://raw.githubusercontent.com/leslita06/dreamcosmetics-maquette/main/photos/187.jpg")</f>
        <v/>
      </c>
      <c r="H28" s="4" t="inlineStr">
        <is>
          <t>http://dreamcosmetics.net/fr/product/visage-et-corps/savon/day-day-savon-aloe-vera</t>
        </is>
      </c>
      <c r="I28" s="4" t="inlineStr">
        <is>
          <t>Site Dream Cosmetics</t>
        </is>
      </c>
      <c r="J28" s="4" t="inlineStr"/>
    </row>
    <row r="29" ht="70" customHeight="1">
      <c r="A29" s="4" t="inlineStr">
        <is>
          <t>Day by Day</t>
        </is>
      </c>
      <c r="B29" s="4" t="inlineStr">
        <is>
          <t>Day by day</t>
        </is>
      </c>
      <c r="C29" s="4" t="inlineStr">
        <is>
          <t>Day by Day Savon aloe vera &amp; glycérine</t>
        </is>
      </c>
      <c r="D29" s="4" t="inlineStr">
        <is>
          <t>Savon</t>
        </is>
      </c>
      <c r="E29" s="4" t="inlineStr">
        <is>
          <t>Savon</t>
        </is>
      </c>
      <c r="F29" s="5" t="inlineStr">
        <is>
          <t>à confirmer</t>
        </is>
      </c>
      <c r="G29" s="4">
        <f>IMAGE("https://raw.githubusercontent.com/leslita06/dreamcosmetics-maquette/main/photos/186.jpg")</f>
        <v/>
      </c>
      <c r="H29" s="4" t="inlineStr">
        <is>
          <t>http://dreamcosmetics.net/fr/product/visage-et-corps/savon/day-day-savon-aloe-vera-glyc%C3%A9rine</t>
        </is>
      </c>
      <c r="I29" s="4" t="inlineStr">
        <is>
          <t>Site Dream Cosmetics</t>
        </is>
      </c>
      <c r="J29" s="4" t="inlineStr"/>
    </row>
    <row r="30" ht="70" customHeight="1">
      <c r="A30" s="4" t="inlineStr">
        <is>
          <t>Day by Day</t>
        </is>
      </c>
      <c r="B30" s="4" t="inlineStr">
        <is>
          <t>Day by day</t>
        </is>
      </c>
      <c r="C30" s="4" t="inlineStr">
        <is>
          <t>Day by Day Savon Amande</t>
        </is>
      </c>
      <c r="D30" s="4" t="inlineStr">
        <is>
          <t>Savon</t>
        </is>
      </c>
      <c r="E30" s="4" t="inlineStr">
        <is>
          <t>Savon</t>
        </is>
      </c>
      <c r="F30" s="4" t="inlineStr">
        <is>
          <t>100 g</t>
        </is>
      </c>
      <c r="G30" s="4">
        <f>IMAGE("https://raw.githubusercontent.com/leslita06/dreamcosmetics-maquette/main/photos/188.jpg")</f>
        <v/>
      </c>
      <c r="H30" s="4" t="inlineStr">
        <is>
          <t>http://dreamcosmetics.net/fr/product/visage-et-corps/savon/day-day-savon-amande</t>
        </is>
      </c>
      <c r="I30" s="4" t="inlineStr">
        <is>
          <t>Site Dream Cosmetics</t>
        </is>
      </c>
      <c r="J30" s="4" t="inlineStr"/>
    </row>
    <row r="31" ht="70" customHeight="1">
      <c r="A31" s="4" t="inlineStr">
        <is>
          <t>Day by Day</t>
        </is>
      </c>
      <c r="B31" s="4" t="inlineStr">
        <is>
          <t>Day by day</t>
        </is>
      </c>
      <c r="C31" s="4" t="inlineStr">
        <is>
          <t>Day by Day Savon Amande</t>
        </is>
      </c>
      <c r="D31" s="4" t="inlineStr">
        <is>
          <t>Savon</t>
        </is>
      </c>
      <c r="E31" s="4" t="inlineStr">
        <is>
          <t>Savon</t>
        </is>
      </c>
      <c r="F31" s="5" t="inlineStr">
        <is>
          <t>à confirmer</t>
        </is>
      </c>
      <c r="G31" s="4">
        <f>IMAGE("https://raw.githubusercontent.com/leslita06/dreamcosmetics-maquette/main/photos/195.jpg")</f>
        <v/>
      </c>
      <c r="H31" s="4" t="inlineStr">
        <is>
          <t>http://dreamcosmetics.net/fr/product/visage-et-corps/savon/day-day-savon-amande-0</t>
        </is>
      </c>
      <c r="I31" s="4" t="inlineStr">
        <is>
          <t>Site Dream Cosmetics</t>
        </is>
      </c>
      <c r="J31" s="4" t="inlineStr"/>
    </row>
    <row r="32" ht="70" customHeight="1">
      <c r="A32" s="4" t="inlineStr">
        <is>
          <t>Day by Day</t>
        </is>
      </c>
      <c r="B32" s="4" t="inlineStr">
        <is>
          <t>Day by day</t>
        </is>
      </c>
      <c r="C32" s="4" t="inlineStr">
        <is>
          <t>Day by Day savon cacao</t>
        </is>
      </c>
      <c r="D32" s="4" t="inlineStr">
        <is>
          <t>Savon</t>
        </is>
      </c>
      <c r="E32" s="4" t="inlineStr">
        <is>
          <t>Savon</t>
        </is>
      </c>
      <c r="F32" s="4" t="inlineStr">
        <is>
          <t>200 g</t>
        </is>
      </c>
      <c r="G32" s="4">
        <f>IMAGE("https://raw.githubusercontent.com/leslita06/dreamcosmetics-maquette/main/photos/197.jpg")</f>
        <v/>
      </c>
      <c r="H32" s="4" t="inlineStr">
        <is>
          <t>http://dreamcosmetics.net/fr/product/visage-et-corps/savon/day-day-savon-cacao</t>
        </is>
      </c>
      <c r="I32" s="4" t="inlineStr">
        <is>
          <t>Site Dream Cosmetics</t>
        </is>
      </c>
      <c r="J32" s="4" t="inlineStr"/>
    </row>
    <row r="33" ht="70" customHeight="1">
      <c r="A33" s="4" t="inlineStr">
        <is>
          <t>Day by Day</t>
        </is>
      </c>
      <c r="B33" s="4" t="inlineStr">
        <is>
          <t>Day by day</t>
        </is>
      </c>
      <c r="C33" s="4" t="inlineStr">
        <is>
          <t>Day by Day Savon Grenadine</t>
        </is>
      </c>
      <c r="D33" s="4" t="inlineStr">
        <is>
          <t>Savon</t>
        </is>
      </c>
      <c r="E33" s="4" t="inlineStr">
        <is>
          <t>Savon</t>
        </is>
      </c>
      <c r="F33" s="4" t="inlineStr">
        <is>
          <t>100 g</t>
        </is>
      </c>
      <c r="G33" s="4">
        <f>IMAGE("https://raw.githubusercontent.com/leslita06/dreamcosmetics-maquette/main/photos/189.jpg")</f>
        <v/>
      </c>
      <c r="H33" s="4" t="inlineStr">
        <is>
          <t>http://dreamcosmetics.net/fr/product/visage-et-corps/savon/day-day-savon-grenadine</t>
        </is>
      </c>
      <c r="I33" s="4" t="inlineStr">
        <is>
          <t>Site Dream Cosmetics</t>
        </is>
      </c>
      <c r="J33" s="4" t="inlineStr"/>
    </row>
    <row r="34" ht="70" customHeight="1">
      <c r="A34" s="4" t="inlineStr">
        <is>
          <t>Day by Day</t>
        </is>
      </c>
      <c r="B34" s="4" t="inlineStr">
        <is>
          <t>Day by day</t>
        </is>
      </c>
      <c r="C34" s="4" t="inlineStr">
        <is>
          <t>Day by Day Savon grenadine</t>
        </is>
      </c>
      <c r="D34" s="4" t="inlineStr">
        <is>
          <t>Savon</t>
        </is>
      </c>
      <c r="E34" s="4" t="inlineStr">
        <is>
          <t>Savon</t>
        </is>
      </c>
      <c r="F34" s="5" t="inlineStr">
        <is>
          <t>à confirmer</t>
        </is>
      </c>
      <c r="G34" s="4">
        <f>IMAGE("https://raw.githubusercontent.com/leslita06/dreamcosmetics-maquette/main/photos/196.jpg")</f>
        <v/>
      </c>
      <c r="H34" s="4" t="inlineStr">
        <is>
          <t>http://dreamcosmetics.net/fr/product/visage-et-corps/savon/day-day-savon-grenadine-0</t>
        </is>
      </c>
      <c r="I34" s="4" t="inlineStr">
        <is>
          <t>Site Dream Cosmetics</t>
        </is>
      </c>
      <c r="J34" s="4" t="inlineStr"/>
    </row>
    <row r="35" ht="70" customHeight="1">
      <c r="A35" s="4" t="inlineStr">
        <is>
          <t>Day by Day</t>
        </is>
      </c>
      <c r="B35" s="4" t="inlineStr">
        <is>
          <t>Day by day</t>
        </is>
      </c>
      <c r="C35" s="4" t="inlineStr">
        <is>
          <t>Day by Day Talc fresh</t>
        </is>
      </c>
      <c r="D35" s="4" t="inlineStr">
        <is>
          <t>Visage et corps</t>
        </is>
      </c>
      <c r="E35" s="4" t="inlineStr">
        <is>
          <t>Talc</t>
        </is>
      </c>
      <c r="F35" s="4" t="inlineStr">
        <is>
          <t>250 - 500 g</t>
        </is>
      </c>
      <c r="G35" s="4">
        <f>IMAGE("https://raw.githubusercontent.com/leslita06/dreamcosmetics-maquette/main/photos/190.jpg")</f>
        <v/>
      </c>
      <c r="H35" s="4" t="inlineStr">
        <is>
          <t>http://dreamcosmetics.net/fr/product/visage-et-corps/talc/day-day-talc-fresh</t>
        </is>
      </c>
      <c r="I35" s="4" t="inlineStr">
        <is>
          <t>Site Dream Cosmetics</t>
        </is>
      </c>
      <c r="J35" s="4" t="inlineStr"/>
    </row>
    <row r="36" ht="70" customHeight="1">
      <c r="A36" s="4" t="inlineStr">
        <is>
          <t>Day by Day</t>
        </is>
      </c>
      <c r="B36" s="4" t="inlineStr">
        <is>
          <t>Day by day</t>
        </is>
      </c>
      <c r="C36" s="4" t="inlineStr">
        <is>
          <t>Day by Day Talc Jade</t>
        </is>
      </c>
      <c r="D36" s="4" t="inlineStr">
        <is>
          <t>Visage et corps</t>
        </is>
      </c>
      <c r="E36" s="4" t="inlineStr">
        <is>
          <t>Talc</t>
        </is>
      </c>
      <c r="F36" s="4" t="inlineStr">
        <is>
          <t>100 - 250 - 500 g</t>
        </is>
      </c>
      <c r="G36" s="4">
        <f>IMAGE("https://raw.githubusercontent.com/leslita06/dreamcosmetics-maquette/main/photos/191.jpg")</f>
        <v/>
      </c>
      <c r="H36" s="4" t="inlineStr">
        <is>
          <t>http://dreamcosmetics.net/fr/product/visage-et-corps/talc/day-day-talc-jade</t>
        </is>
      </c>
      <c r="I36" s="4" t="inlineStr">
        <is>
          <t>Site Dream Cosmetics</t>
        </is>
      </c>
      <c r="J36" s="4" t="inlineStr"/>
    </row>
    <row r="37" ht="70" customHeight="1">
      <c r="A37" s="4" t="inlineStr">
        <is>
          <t>Day by Day</t>
        </is>
      </c>
      <c r="B37" s="4" t="inlineStr">
        <is>
          <t>Day by day</t>
        </is>
      </c>
      <c r="C37" s="4" t="inlineStr">
        <is>
          <t>Day by Day Talc Men</t>
        </is>
      </c>
      <c r="D37" s="4" t="inlineStr">
        <is>
          <t>Visage et corps</t>
        </is>
      </c>
      <c r="E37" s="4" t="inlineStr">
        <is>
          <t>Talc</t>
        </is>
      </c>
      <c r="F37" s="4" t="inlineStr">
        <is>
          <t>250 - 500 g</t>
        </is>
      </c>
      <c r="G37" s="4">
        <f>IMAGE("https://raw.githubusercontent.com/leslita06/dreamcosmetics-maquette/main/photos/192.jpg")</f>
        <v/>
      </c>
      <c r="H37" s="4" t="inlineStr">
        <is>
          <t>http://dreamcosmetics.net/fr/product/visage-et-corps/talc/day-day-talc-men</t>
        </is>
      </c>
      <c r="I37" s="4" t="inlineStr">
        <is>
          <t>Site Dream Cosmetics</t>
        </is>
      </c>
      <c r="J37" s="4" t="inlineStr"/>
    </row>
    <row r="38" ht="70" customHeight="1">
      <c r="A38" s="4" t="inlineStr">
        <is>
          <t>Day by Day</t>
        </is>
      </c>
      <c r="B38" s="4" t="inlineStr">
        <is>
          <t>Day by day</t>
        </is>
      </c>
      <c r="C38" s="4" t="inlineStr">
        <is>
          <t>Day by Day Talc Rose</t>
        </is>
      </c>
      <c r="D38" s="4" t="inlineStr">
        <is>
          <t>Visage et corps</t>
        </is>
      </c>
      <c r="E38" s="4" t="inlineStr">
        <is>
          <t>Talc</t>
        </is>
      </c>
      <c r="F38" s="5" t="inlineStr">
        <is>
          <t>à confirmer</t>
        </is>
      </c>
      <c r="G38" s="4">
        <f>IMAGE("https://raw.githubusercontent.com/leslita06/dreamcosmetics-maquette/main/photos/193.jpg")</f>
        <v/>
      </c>
      <c r="H38" s="4" t="inlineStr">
        <is>
          <t>http://dreamcosmetics.net/fr/product/visage-et-corps/talc/day-day-talc-rose</t>
        </is>
      </c>
      <c r="I38" s="4" t="inlineStr">
        <is>
          <t>Site Dream Cosmetics</t>
        </is>
      </c>
      <c r="J38" s="4" t="inlineStr"/>
    </row>
    <row r="39" ht="70" customHeight="1">
      <c r="A39" s="4" t="inlineStr">
        <is>
          <t>Day by Day</t>
        </is>
      </c>
      <c r="B39" s="4" t="inlineStr">
        <is>
          <t>Day by Day Women</t>
        </is>
      </c>
      <c r="C39" s="4" t="inlineStr">
        <is>
          <t>DAY BY DAY Women crème apaisante lait d'avoine &amp; glycérine</t>
        </is>
      </c>
      <c r="D39" s="4" t="inlineStr">
        <is>
          <t>Visage et corps</t>
        </is>
      </c>
      <c r="E39" s="4" t="inlineStr">
        <is>
          <t>Crème</t>
        </is>
      </c>
      <c r="F39" s="4" t="inlineStr">
        <is>
          <t>300 ml</t>
        </is>
      </c>
      <c r="G39" s="4">
        <f>IMAGE("https://raw.githubusercontent.com/leslita06/dreamcosmetics-maquette/main/photos/484.jpg")</f>
        <v/>
      </c>
      <c r="H39" s="4" t="inlineStr">
        <is>
          <t>http://dreamcosmetics.net/fr/product/visage-et-corps/cr%C3%A8me/day-day-women-cr%C3%A8me-apaisante-lait-davoine-glyc%C3%A9rine</t>
        </is>
      </c>
      <c r="I39" s="4" t="inlineStr">
        <is>
          <t>Site Dream Cosmetics</t>
        </is>
      </c>
      <c r="J39" s="4" t="inlineStr"/>
    </row>
    <row r="40" ht="70" customHeight="1">
      <c r="A40" s="4" t="inlineStr">
        <is>
          <t>Day by Day</t>
        </is>
      </c>
      <c r="B40" s="4" t="inlineStr">
        <is>
          <t>Day by Day Women</t>
        </is>
      </c>
      <c r="C40" s="4" t="inlineStr">
        <is>
          <t>DAY BY DAY Women crème nourrissante karité &amp; collagène</t>
        </is>
      </c>
      <c r="D40" s="4" t="inlineStr">
        <is>
          <t>Visage et corps</t>
        </is>
      </c>
      <c r="E40" s="4" t="inlineStr">
        <is>
          <t>Crème</t>
        </is>
      </c>
      <c r="F40" s="4" t="inlineStr">
        <is>
          <t>300 ml</t>
        </is>
      </c>
      <c r="G40" s="4">
        <f>IMAGE("https://raw.githubusercontent.com/leslita06/dreamcosmetics-maquette/main/photos/488.jpg")</f>
        <v/>
      </c>
      <c r="H40" s="4" t="inlineStr">
        <is>
          <t>http://dreamcosmetics.net/fr/product/visage-et-corps/cr%C3%A8me/day-day-women-cr%C3%A8me-nourrissante-karit%C3%A9-collag%C3%A8ne</t>
        </is>
      </c>
      <c r="I40" s="4" t="inlineStr">
        <is>
          <t>Site Dream Cosmetics</t>
        </is>
      </c>
      <c r="J40" s="4" t="inlineStr"/>
    </row>
    <row r="41" ht="70" customHeight="1">
      <c r="A41" s="4" t="inlineStr">
        <is>
          <t>Day by Day</t>
        </is>
      </c>
      <c r="B41" s="4" t="inlineStr">
        <is>
          <t>Day by Day Women</t>
        </is>
      </c>
      <c r="C41" s="4" t="inlineStr">
        <is>
          <t>DAY BY DAY Women crème revitalisante moringa &amp; allantoïne</t>
        </is>
      </c>
      <c r="D41" s="4" t="inlineStr">
        <is>
          <t>Visage et corps</t>
        </is>
      </c>
      <c r="E41" s="4" t="inlineStr">
        <is>
          <t>Crème</t>
        </is>
      </c>
      <c r="F41" s="4" t="inlineStr">
        <is>
          <t>300 ml</t>
        </is>
      </c>
      <c r="G41" s="4">
        <f>IMAGE("https://raw.githubusercontent.com/leslita06/dreamcosmetics-maquette/main/photos/486.jpg")</f>
        <v/>
      </c>
      <c r="H41" s="4" t="inlineStr">
        <is>
          <t>http://dreamcosmetics.net/fr/product/visage-et-corps/cr%C3%A8me/day-day-women-cr%C3%A8me-revitalisante-moringa-allanto%C3%AFne</t>
        </is>
      </c>
      <c r="I41" s="4" t="inlineStr">
        <is>
          <t>Site Dream Cosmetics</t>
        </is>
      </c>
      <c r="J41" s="4" t="inlineStr"/>
    </row>
    <row r="42" ht="70" customHeight="1">
      <c r="A42" s="4" t="inlineStr">
        <is>
          <t>Day by Day</t>
        </is>
      </c>
      <c r="B42" s="4" t="inlineStr">
        <is>
          <t>Day by Day Women</t>
        </is>
      </c>
      <c r="C42" s="4" t="inlineStr">
        <is>
          <t>DAY BY DAY Women crème réparatrice collagène &amp; allantoïne</t>
        </is>
      </c>
      <c r="D42" s="4" t="inlineStr">
        <is>
          <t>Visage et corps</t>
        </is>
      </c>
      <c r="E42" s="4" t="inlineStr">
        <is>
          <t>Crème</t>
        </is>
      </c>
      <c r="F42" s="4" t="inlineStr">
        <is>
          <t>300 ml</t>
        </is>
      </c>
      <c r="G42" s="4">
        <f>IMAGE("https://raw.githubusercontent.com/leslita06/dreamcosmetics-maquette/main/photos/534.jpg")</f>
        <v/>
      </c>
      <c r="H42" s="4" t="inlineStr">
        <is>
          <t>http://dreamcosmetics.net/fr/product/visage-et-corps/cr%C3%A8me/day-day-women-cr%C3%A8me-r%C3%A9paratrice-collag%C3%A8ne-allanto%C3%AFne</t>
        </is>
      </c>
      <c r="I42" s="4" t="inlineStr">
        <is>
          <t>Site Dream Cosmetics</t>
        </is>
      </c>
      <c r="J42" s="4" t="inlineStr"/>
    </row>
    <row r="43" ht="70" customHeight="1">
      <c r="A43" s="4" t="inlineStr">
        <is>
          <t>Day by Day</t>
        </is>
      </c>
      <c r="B43" s="4" t="inlineStr">
        <is>
          <t>Day by Day Women</t>
        </is>
      </c>
      <c r="C43" s="4" t="inlineStr">
        <is>
          <t>DAY BY DAY WOMEN gel douche apaisant lait d'avoine &amp; allantoïne Description Actif</t>
        </is>
      </c>
      <c r="D43" s="4" t="inlineStr">
        <is>
          <t>Corps (douche)</t>
        </is>
      </c>
      <c r="E43" s="4" t="inlineStr">
        <is>
          <t>Gel douche</t>
        </is>
      </c>
      <c r="F43" s="4" t="inlineStr">
        <is>
          <t>400 ml</t>
        </is>
      </c>
      <c r="G43" s="4">
        <f>IMAGE("https://raw.githubusercontent.com/leslita06/dreamcosmetics-maquette/main/photos/524.jpg")</f>
        <v/>
      </c>
      <c r="H43" s="4" t="inlineStr">
        <is>
          <t>http://dreamcosmetics.net/fr/product/visage-et-corps/gel-douche/day-day-women-gel-douche-apaisant-lait-davoine-allanto%C3%AFne</t>
        </is>
      </c>
      <c r="I43" s="4" t="inlineStr">
        <is>
          <t>Site Dream Cosmetics</t>
        </is>
      </c>
      <c r="J43" s="4" t="inlineStr"/>
    </row>
    <row r="44" ht="70" customHeight="1">
      <c r="A44" s="4" t="inlineStr">
        <is>
          <t>Day by Day</t>
        </is>
      </c>
      <c r="B44" s="4" t="inlineStr">
        <is>
          <t>Day by Day Women</t>
        </is>
      </c>
      <c r="C44" s="4" t="inlineStr">
        <is>
          <t>DAY BY DAY WOMEN gel douche nourrissant beurre de karité</t>
        </is>
      </c>
      <c r="D44" s="4" t="inlineStr">
        <is>
          <t>Corps (douche)</t>
        </is>
      </c>
      <c r="E44" s="4" t="inlineStr">
        <is>
          <t>Gel douche</t>
        </is>
      </c>
      <c r="F44" s="4" t="inlineStr">
        <is>
          <t>400 ml</t>
        </is>
      </c>
      <c r="G44" s="4">
        <f>IMAGE("https://raw.githubusercontent.com/leslita06/dreamcosmetics-maquette/main/photos/522.jpg")</f>
        <v/>
      </c>
      <c r="H44" s="4" t="inlineStr">
        <is>
          <t>http://dreamcosmetics.net/fr/product/visage-et-corps/gel-douche/day-day-women-gel-douche-nourrissant-beurre-de-karit%C3%A9</t>
        </is>
      </c>
      <c r="I44" s="4" t="inlineStr">
        <is>
          <t>Site Dream Cosmetics</t>
        </is>
      </c>
      <c r="J44" s="4" t="inlineStr"/>
    </row>
    <row r="45" ht="70" customHeight="1">
      <c r="A45" s="4" t="inlineStr">
        <is>
          <t>Day by Day</t>
        </is>
      </c>
      <c r="B45" s="4" t="inlineStr">
        <is>
          <t>Day by Day Women</t>
        </is>
      </c>
      <c r="C45" s="4" t="inlineStr">
        <is>
          <t>DAY BY DAY WOMEN gel douche revitalisant moringa &amp; allantoïne</t>
        </is>
      </c>
      <c r="D45" s="4" t="inlineStr">
        <is>
          <t>Corps (douche)</t>
        </is>
      </c>
      <c r="E45" s="4" t="inlineStr">
        <is>
          <t>Gel douche</t>
        </is>
      </c>
      <c r="F45" s="4" t="inlineStr">
        <is>
          <t>400 ml</t>
        </is>
      </c>
      <c r="G45" s="4">
        <f>IMAGE("https://raw.githubusercontent.com/leslita06/dreamcosmetics-maquette/main/photos/523.jpg")</f>
        <v/>
      </c>
      <c r="H45" s="4" t="inlineStr">
        <is>
          <t>http://dreamcosmetics.net/fr/product/visage-et-corps/gel-douche/day-day-women-gel-douche-revitalisant-moringa-allanto%C3%AFne</t>
        </is>
      </c>
      <c r="I45" s="4" t="inlineStr">
        <is>
          <t>Site Dream Cosmetics</t>
        </is>
      </c>
      <c r="J45" s="4" t="inlineStr"/>
    </row>
    <row r="46" ht="70" customHeight="1">
      <c r="A46" s="4" t="inlineStr">
        <is>
          <t>Day by Day</t>
        </is>
      </c>
      <c r="B46" s="4" t="inlineStr">
        <is>
          <t>Day by Day Women</t>
        </is>
      </c>
      <c r="C46" s="4" t="inlineStr">
        <is>
          <t>DAY BY DAY WOMEN gel douche réparateur allantoïne</t>
        </is>
      </c>
      <c r="D46" s="4" t="inlineStr">
        <is>
          <t>Corps (douche)</t>
        </is>
      </c>
      <c r="E46" s="4" t="inlineStr">
        <is>
          <t>Gel douche</t>
        </is>
      </c>
      <c r="F46" s="4" t="inlineStr">
        <is>
          <t>400 ml</t>
        </is>
      </c>
      <c r="G46" s="4">
        <f>IMAGE("https://raw.githubusercontent.com/leslita06/dreamcosmetics-maquette/main/photos/525.jpg")</f>
        <v/>
      </c>
      <c r="H46" s="4" t="inlineStr">
        <is>
          <t>http://dreamcosmetics.net/fr/product/visage-et-corps/gel-douche/day-day-women-gel-douche-r%C3%A9parateur-allanto%C3%AFne</t>
        </is>
      </c>
      <c r="I46" s="4" t="inlineStr">
        <is>
          <t>Site Dream Cosmetics</t>
        </is>
      </c>
      <c r="J46" s="4" t="inlineStr"/>
    </row>
    <row r="47" ht="70" customHeight="1">
      <c r="A47" s="4" t="inlineStr">
        <is>
          <t>Day by Day</t>
        </is>
      </c>
      <c r="B47" s="4" t="inlineStr">
        <is>
          <t>Day by Day Women</t>
        </is>
      </c>
      <c r="C47" s="4" t="inlineStr">
        <is>
          <t>DAY BY DAY Women Lait apaisant lait d'avoine &amp; glycérine</t>
        </is>
      </c>
      <c r="D47" s="4" t="inlineStr">
        <is>
          <t>Visage et corps</t>
        </is>
      </c>
      <c r="E47" s="4" t="inlineStr">
        <is>
          <t>Lait</t>
        </is>
      </c>
      <c r="F47" s="4" t="inlineStr">
        <is>
          <t>200-400 ml</t>
        </is>
      </c>
      <c r="G47" s="4">
        <f>IMAGE("https://raw.githubusercontent.com/leslita06/dreamcosmetics-maquette/main/photos/528.jpg")</f>
        <v/>
      </c>
      <c r="H47" s="4" t="inlineStr">
        <is>
          <t>http://dreamcosmetics.net/fr/product/visage-et-corps/lait/day-day-women-lait-apaisant-lait-davoine-glyc%C3%A9rine</t>
        </is>
      </c>
      <c r="I47" s="4" t="inlineStr">
        <is>
          <t>Site Dream Cosmetics</t>
        </is>
      </c>
      <c r="J47" s="4" t="inlineStr"/>
    </row>
    <row r="48" ht="70" customHeight="1">
      <c r="A48" s="4" t="inlineStr">
        <is>
          <t>Day by Day</t>
        </is>
      </c>
      <c r="B48" s="4" t="inlineStr">
        <is>
          <t>Day by Day Women</t>
        </is>
      </c>
      <c r="C48" s="4" t="inlineStr">
        <is>
          <t>DAY BY DAY Women Lait nourrissant karité &amp; collagène</t>
        </is>
      </c>
      <c r="D48" s="4" t="inlineStr">
        <is>
          <t>Visage et corps</t>
        </is>
      </c>
      <c r="E48" s="4" t="inlineStr">
        <is>
          <t>Lait</t>
        </is>
      </c>
      <c r="F48" s="4" t="inlineStr">
        <is>
          <t>200-400 ml</t>
        </is>
      </c>
      <c r="G48" s="4">
        <f>IMAGE("https://raw.githubusercontent.com/leslita06/dreamcosmetics-maquette/main/photos/527.jpg")</f>
        <v/>
      </c>
      <c r="H48" s="4" t="inlineStr">
        <is>
          <t>http://dreamcosmetics.net/fr/product/visage-et-corps/lait/day-day-women-lait-nourrissant-karit%C3%A9-collag%C3%A8ne</t>
        </is>
      </c>
      <c r="I48" s="4" t="inlineStr">
        <is>
          <t>Site Dream Cosmetics</t>
        </is>
      </c>
      <c r="J48" s="4" t="inlineStr"/>
    </row>
    <row r="49" ht="70" customHeight="1">
      <c r="A49" s="4" t="inlineStr">
        <is>
          <t>Day by Day</t>
        </is>
      </c>
      <c r="B49" s="4" t="inlineStr">
        <is>
          <t>Day by Day Women</t>
        </is>
      </c>
      <c r="C49" s="4" t="inlineStr">
        <is>
          <t>DAY BY DAY Women Lait revitalisant moringa &amp; allantoïne</t>
        </is>
      </c>
      <c r="D49" s="4" t="inlineStr">
        <is>
          <t>Visage et corps</t>
        </is>
      </c>
      <c r="E49" s="4" t="inlineStr">
        <is>
          <t>Lait</t>
        </is>
      </c>
      <c r="F49" s="4" t="inlineStr">
        <is>
          <t>200-400 ml</t>
        </is>
      </c>
      <c r="G49" s="4">
        <f>IMAGE("https://raw.githubusercontent.com/leslita06/dreamcosmetics-maquette/main/photos/529.jpg")</f>
        <v/>
      </c>
      <c r="H49" s="4" t="inlineStr">
        <is>
          <t>http://dreamcosmetics.net/fr/product/visage-et-corps/lait/day-day-women-lait-revitalisant-moringa-allanto%C3%AFne</t>
        </is>
      </c>
      <c r="I49" s="4" t="inlineStr">
        <is>
          <t>Site Dream Cosmetics</t>
        </is>
      </c>
      <c r="J49" s="4" t="inlineStr"/>
    </row>
    <row r="50" ht="70" customHeight="1">
      <c r="A50" s="4" t="inlineStr">
        <is>
          <t>Day by Day</t>
        </is>
      </c>
      <c r="B50" s="4" t="inlineStr">
        <is>
          <t>Day by Day Women</t>
        </is>
      </c>
      <c r="C50" s="4" t="inlineStr">
        <is>
          <t>DAY BY DAY WOMEN Lait réparateur collagène &amp; allantoïne</t>
        </is>
      </c>
      <c r="D50" s="4" t="inlineStr">
        <is>
          <t>Visage et corps</t>
        </is>
      </c>
      <c r="E50" s="4" t="inlineStr">
        <is>
          <t>Lait</t>
        </is>
      </c>
      <c r="F50" s="5" t="inlineStr">
        <is>
          <t>à confirmer</t>
        </is>
      </c>
      <c r="G50" s="4">
        <f>IMAGE("https://raw.githubusercontent.com/leslita06/dreamcosmetics-maquette/main/photos/526.jpg")</f>
        <v/>
      </c>
      <c r="H50" s="4" t="inlineStr">
        <is>
          <t>http://dreamcosmetics.net/fr/product/visage-et-corps/lait/day-day-women-lait-r%C3%A9parateur-collag%C3%A8ne-allanto%C3%AFne</t>
        </is>
      </c>
      <c r="I50" s="4" t="inlineStr">
        <is>
          <t>Site Dream Cosmetics</t>
        </is>
      </c>
      <c r="J50" s="4" t="inlineStr"/>
    </row>
    <row r="51" ht="70" customHeight="1">
      <c r="A51" s="4" t="inlineStr">
        <is>
          <t>Day by Day</t>
        </is>
      </c>
      <c r="B51" s="4" t="inlineStr">
        <is>
          <t>Day by Day Women</t>
        </is>
      </c>
      <c r="C51" s="4" t="inlineStr">
        <is>
          <t>DAY BY DAY Women pommade apaisante lait d'avoine</t>
        </is>
      </c>
      <c r="D51" s="4" t="inlineStr">
        <is>
          <t>Visage et corps</t>
        </is>
      </c>
      <c r="E51" s="4" t="inlineStr">
        <is>
          <t>Pommade</t>
        </is>
      </c>
      <c r="F51" s="4" t="inlineStr">
        <is>
          <t>120-300 ml</t>
        </is>
      </c>
      <c r="G51" s="4">
        <f>IMAGE("https://raw.githubusercontent.com/leslita06/dreamcosmetics-maquette/main/photos/532.jpg")</f>
        <v/>
      </c>
      <c r="H51" s="4" t="inlineStr">
        <is>
          <t>http://dreamcosmetics.net/fr/product/visage-et-corps/pommade/day-day-women-pommade-apaisante-lait-davoine</t>
        </is>
      </c>
      <c r="I51" s="4" t="inlineStr">
        <is>
          <t>Site Dream Cosmetics</t>
        </is>
      </c>
      <c r="J51" s="4" t="inlineStr"/>
    </row>
    <row r="52" ht="70" customHeight="1">
      <c r="A52" s="4" t="inlineStr">
        <is>
          <t>Day by Day</t>
        </is>
      </c>
      <c r="B52" s="4" t="inlineStr">
        <is>
          <t>Day by Day Women</t>
        </is>
      </c>
      <c r="C52" s="4" t="inlineStr">
        <is>
          <t>DAY BY DAY Women pommade nourrissante beurre de karité</t>
        </is>
      </c>
      <c r="D52" s="4" t="inlineStr">
        <is>
          <t>Visage et corps</t>
        </is>
      </c>
      <c r="E52" s="4" t="inlineStr">
        <is>
          <t>Pommade</t>
        </is>
      </c>
      <c r="F52" s="4" t="inlineStr">
        <is>
          <t>120-300 ml</t>
        </is>
      </c>
      <c r="G52" s="4">
        <f>IMAGE("https://raw.githubusercontent.com/leslita06/dreamcosmetics-maquette/main/photos/531.jpg")</f>
        <v/>
      </c>
      <c r="H52" s="4" t="inlineStr">
        <is>
          <t>http://dreamcosmetics.net/fr/product/visage-et-corps/pommade/day-day-women-pommade-nourrissante-beurre-de-karit%C3%A9</t>
        </is>
      </c>
      <c r="I52" s="4" t="inlineStr">
        <is>
          <t>Site Dream Cosmetics</t>
        </is>
      </c>
      <c r="J52" s="4" t="inlineStr"/>
    </row>
    <row r="53" ht="70" customHeight="1">
      <c r="A53" s="4" t="inlineStr">
        <is>
          <t>Day by Day</t>
        </is>
      </c>
      <c r="B53" s="4" t="inlineStr">
        <is>
          <t>Day by Day Women</t>
        </is>
      </c>
      <c r="C53" s="4" t="inlineStr">
        <is>
          <t>DAY BY DAY Women pommade revitalisante moringa</t>
        </is>
      </c>
      <c r="D53" s="4" t="inlineStr">
        <is>
          <t>Visage et corps</t>
        </is>
      </c>
      <c r="E53" s="4" t="inlineStr">
        <is>
          <t>Pommade</t>
        </is>
      </c>
      <c r="F53" s="4" t="inlineStr">
        <is>
          <t>120-300 ml</t>
        </is>
      </c>
      <c r="G53" s="4">
        <f>IMAGE("https://raw.githubusercontent.com/leslita06/dreamcosmetics-maquette/main/photos/533.jpg")</f>
        <v/>
      </c>
      <c r="H53" s="4" t="inlineStr">
        <is>
          <t>http://dreamcosmetics.net/fr/product/visage-et-corps/pommade/day-day-women-pommade-revitalisante-moringa</t>
        </is>
      </c>
      <c r="I53" s="4" t="inlineStr">
        <is>
          <t>Site Dream Cosmetics</t>
        </is>
      </c>
      <c r="J53" s="4" t="inlineStr"/>
    </row>
    <row r="54" ht="70" customHeight="1">
      <c r="A54" s="4" t="inlineStr">
        <is>
          <t>Day by Day</t>
        </is>
      </c>
      <c r="B54" s="4" t="inlineStr">
        <is>
          <t>Day by Day Women</t>
        </is>
      </c>
      <c r="C54" s="4" t="inlineStr">
        <is>
          <t>DAY BY DAY Women pommade réparatrice huile d'amande douce</t>
        </is>
      </c>
      <c r="D54" s="4" t="inlineStr">
        <is>
          <t>Visage et corps</t>
        </is>
      </c>
      <c r="E54" s="4" t="inlineStr">
        <is>
          <t>Pommade</t>
        </is>
      </c>
      <c r="F54" s="4" t="inlineStr">
        <is>
          <t>120-300 ml</t>
        </is>
      </c>
      <c r="G54" s="4">
        <f>IMAGE("https://raw.githubusercontent.com/leslita06/dreamcosmetics-maquette/main/photos/530.jpg")</f>
        <v/>
      </c>
      <c r="H54" s="4" t="inlineStr">
        <is>
          <t>http://dreamcosmetics.net/fr/product/visage-et-corps/pommade/day-day-women-pommade-r%C3%A9paratrice-huile-damande-douce</t>
        </is>
      </c>
      <c r="I54" s="4" t="inlineStr">
        <is>
          <t>Site Dream Cosmetics</t>
        </is>
      </c>
      <c r="J54" s="4" t="inlineStr"/>
    </row>
    <row r="55" ht="70" customHeight="1">
      <c r="A55" s="4" t="inlineStr">
        <is>
          <t>Day by Day</t>
        </is>
      </c>
      <c r="B55" s="4" t="inlineStr">
        <is>
          <t>Day by Day Women</t>
        </is>
      </c>
      <c r="C55" s="4" t="inlineStr">
        <is>
          <t>DAY BY DAY Women poudre parfumée bloom petal</t>
        </is>
      </c>
      <c r="D55" s="4" t="inlineStr">
        <is>
          <t>Visage et corps</t>
        </is>
      </c>
      <c r="E55" s="4" t="inlineStr">
        <is>
          <t>Talc</t>
        </is>
      </c>
      <c r="F55" s="4" t="inlineStr">
        <is>
          <t>50-120-200-450 gr</t>
        </is>
      </c>
      <c r="G55" s="4">
        <f>IMAGE("https://raw.githubusercontent.com/leslita06/dreamcosmetics-maquette/main/photos/492.jpg")</f>
        <v/>
      </c>
      <c r="H55" s="4" t="inlineStr">
        <is>
          <t>http://dreamcosmetics.net/fr/product/visage-et-corps/talc/day-day-women-poudre-parfum%C3%A9e-bloom-petal</t>
        </is>
      </c>
      <c r="I55" s="4" t="inlineStr">
        <is>
          <t>Site Dream Cosmetics</t>
        </is>
      </c>
      <c r="J55" s="4" t="inlineStr"/>
    </row>
    <row r="56" ht="70" customHeight="1">
      <c r="A56" s="4" t="inlineStr">
        <is>
          <t>Day by Day</t>
        </is>
      </c>
      <c r="B56" s="4" t="inlineStr">
        <is>
          <t>Day by Day Women</t>
        </is>
      </c>
      <c r="C56" s="4" t="inlineStr">
        <is>
          <t>DAY BY DAY WOMEN poudre parfumée green escape</t>
        </is>
      </c>
      <c r="D56" s="4" t="inlineStr">
        <is>
          <t>Visage et corps</t>
        </is>
      </c>
      <c r="E56" s="4" t="inlineStr">
        <is>
          <t>Talc</t>
        </is>
      </c>
      <c r="F56" s="4" t="inlineStr">
        <is>
          <t>50-120-200-450 gr</t>
        </is>
      </c>
      <c r="G56" s="4">
        <f>IMAGE("https://raw.githubusercontent.com/leslita06/dreamcosmetics-maquette/main/photos/493.jpg")</f>
        <v/>
      </c>
      <c r="H56" s="4" t="inlineStr">
        <is>
          <t>http://dreamcosmetics.net/fr/product/visage-et-corps/talc/day-day-women-poudre-parfum%C3%A9e-green-escape</t>
        </is>
      </c>
      <c r="I56" s="4" t="inlineStr">
        <is>
          <t>Site Dream Cosmetics</t>
        </is>
      </c>
      <c r="J56" s="4" t="inlineStr"/>
    </row>
    <row r="57" ht="70" customHeight="1">
      <c r="A57" s="4" t="inlineStr">
        <is>
          <t>Day by Day</t>
        </is>
      </c>
      <c r="B57" s="4" t="inlineStr">
        <is>
          <t>Day by Day Women</t>
        </is>
      </c>
      <c r="C57" s="4" t="inlineStr">
        <is>
          <t>DAY BY DAY Women poudre parfumée simply clean</t>
        </is>
      </c>
      <c r="D57" s="4" t="inlineStr">
        <is>
          <t>Visage et corps</t>
        </is>
      </c>
      <c r="E57" s="4" t="inlineStr">
        <is>
          <t>Talc</t>
        </is>
      </c>
      <c r="F57" s="4" t="inlineStr">
        <is>
          <t>50-120-200-450 gr</t>
        </is>
      </c>
      <c r="G57" s="4">
        <f>IMAGE("https://raw.githubusercontent.com/leslita06/dreamcosmetics-maquette/main/photos/517.jpg")</f>
        <v/>
      </c>
      <c r="H57" s="4" t="inlineStr">
        <is>
          <t>http://dreamcosmetics.net/fr/product/visage-et-corps/talc/day-day-women-poudre-parfum%C3%A9e-simply-clean</t>
        </is>
      </c>
      <c r="I57" s="4" t="inlineStr">
        <is>
          <t>Site Dream Cosmetics</t>
        </is>
      </c>
      <c r="J57" s="4" t="inlineStr"/>
    </row>
    <row r="58" ht="70" customHeight="1">
      <c r="A58" s="4" t="inlineStr">
        <is>
          <t>Day by Day</t>
        </is>
      </c>
      <c r="B58" s="4" t="inlineStr">
        <is>
          <t>Day by Day Women</t>
        </is>
      </c>
      <c r="C58" s="4" t="inlineStr">
        <is>
          <t>DAY BY DAY WOMEN savon de toilette apaisant lait d'avoine &amp; allantoïne</t>
        </is>
      </c>
      <c r="D58" s="4" t="inlineStr">
        <is>
          <t>Savon</t>
        </is>
      </c>
      <c r="E58" s="4" t="inlineStr">
        <is>
          <t>Savon</t>
        </is>
      </c>
      <c r="F58" s="4" t="inlineStr">
        <is>
          <t>175 gr</t>
        </is>
      </c>
      <c r="G58" s="4">
        <f>IMAGE("https://raw.githubusercontent.com/leslita06/dreamcosmetics-maquette/main/photos/520.jpg")</f>
        <v/>
      </c>
      <c r="H58" s="4" t="inlineStr">
        <is>
          <t>http://dreamcosmetics.net/fr/product/visage-et-corps/savon/day-day-women-savon-de-toilette-apaisant-lait-davoine-allanto%C3%AFne</t>
        </is>
      </c>
      <c r="I58" s="4" t="inlineStr">
        <is>
          <t>Site Dream Cosmetics</t>
        </is>
      </c>
      <c r="J58" s="4" t="inlineStr"/>
    </row>
    <row r="59" ht="70" customHeight="1">
      <c r="A59" s="4" t="inlineStr">
        <is>
          <t>Day by Day</t>
        </is>
      </c>
      <c r="B59" s="4" t="inlineStr">
        <is>
          <t>Day by Day Women</t>
        </is>
      </c>
      <c r="C59" s="4" t="inlineStr">
        <is>
          <t>DAY BY DAY WOMEN savon de toilette nourrissant beurre de karité</t>
        </is>
      </c>
      <c r="D59" s="4" t="inlineStr">
        <is>
          <t>Savon</t>
        </is>
      </c>
      <c r="E59" s="4" t="inlineStr">
        <is>
          <t>Savon</t>
        </is>
      </c>
      <c r="F59" s="4" t="inlineStr">
        <is>
          <t>175 gr</t>
        </is>
      </c>
      <c r="G59" s="4">
        <f>IMAGE("https://raw.githubusercontent.com/leslita06/dreamcosmetics-maquette/main/photos/518.jpg")</f>
        <v/>
      </c>
      <c r="H59" s="4" t="inlineStr">
        <is>
          <t>http://dreamcosmetics.net/fr/product/visage-et-corps/savon/day-day-women-savon-de-toilette-nourrissant-beurre-de-karit%C3%A9</t>
        </is>
      </c>
      <c r="I59" s="4" t="inlineStr">
        <is>
          <t>Site Dream Cosmetics</t>
        </is>
      </c>
      <c r="J59" s="4" t="inlineStr"/>
    </row>
    <row r="60" ht="70" customHeight="1">
      <c r="A60" s="4" t="inlineStr">
        <is>
          <t>Day by Day</t>
        </is>
      </c>
      <c r="B60" s="4" t="inlineStr">
        <is>
          <t>Day by Day Women</t>
        </is>
      </c>
      <c r="C60" s="4" t="inlineStr">
        <is>
          <t>DAY BY DAY WOMEN savon de toilette revitalisant moringa &amp; allantoïne</t>
        </is>
      </c>
      <c r="D60" s="4" t="inlineStr">
        <is>
          <t>Savon</t>
        </is>
      </c>
      <c r="E60" s="4" t="inlineStr">
        <is>
          <t>Savon</t>
        </is>
      </c>
      <c r="F60" s="4" t="inlineStr">
        <is>
          <t>175 gr</t>
        </is>
      </c>
      <c r="G60" s="4">
        <f>IMAGE("https://raw.githubusercontent.com/leslita06/dreamcosmetics-maquette/main/photos/519.jpg")</f>
        <v/>
      </c>
      <c r="H60" s="4" t="inlineStr">
        <is>
          <t>http://dreamcosmetics.net/fr/product/visage-et-corps/savon/day-day-women-savon-de-toilette-revitalisant-moringa-allanto%C3%AFne</t>
        </is>
      </c>
      <c r="I60" s="4" t="inlineStr">
        <is>
          <t>Site Dream Cosmetics</t>
        </is>
      </c>
      <c r="J60" s="4" t="inlineStr"/>
    </row>
    <row r="61" ht="70" customHeight="1">
      <c r="A61" s="4" t="inlineStr">
        <is>
          <t>Day by Day</t>
        </is>
      </c>
      <c r="B61" s="4" t="inlineStr">
        <is>
          <t>Day by Day Women</t>
        </is>
      </c>
      <c r="C61" s="4" t="inlineStr">
        <is>
          <t>DAY BY DAY WOMEN savon de toilette réparateur allantoïne</t>
        </is>
      </c>
      <c r="D61" s="4" t="inlineStr">
        <is>
          <t>Savon</t>
        </is>
      </c>
      <c r="E61" s="4" t="inlineStr">
        <is>
          <t>Savon</t>
        </is>
      </c>
      <c r="F61" s="4" t="inlineStr">
        <is>
          <t>175 gr</t>
        </is>
      </c>
      <c r="G61" s="4">
        <f>IMAGE("https://raw.githubusercontent.com/leslita06/dreamcosmetics-maquette/main/photos/521.jpg")</f>
        <v/>
      </c>
      <c r="H61" s="4" t="inlineStr">
        <is>
          <t>http://dreamcosmetics.net/fr/product/visage-et-corps/savon/day-day-women-savon-de-toilette-r%C3%A9parateur-allanto%C3%AFne</t>
        </is>
      </c>
      <c r="I61" s="4" t="inlineStr">
        <is>
          <t>Site Dream Cosmetics</t>
        </is>
      </c>
      <c r="J61" s="4" t="inlineStr"/>
    </row>
    <row r="62" ht="70" customHeight="1">
      <c r="A62" s="4" t="inlineStr">
        <is>
          <t>Day by Day</t>
        </is>
      </c>
      <c r="B62" s="4" t="inlineStr">
        <is>
          <t>Day by day Men</t>
        </is>
      </c>
      <c r="C62" s="4" t="inlineStr">
        <is>
          <t>Day by day déodorant spray attract power</t>
        </is>
      </c>
      <c r="D62" s="4" t="inlineStr">
        <is>
          <t>Parfum</t>
        </is>
      </c>
      <c r="E62" s="4" t="inlineStr">
        <is>
          <t>Déodorant</t>
        </is>
      </c>
      <c r="F62" s="5" t="inlineStr">
        <is>
          <t>à confirmer</t>
        </is>
      </c>
      <c r="G62" s="4">
        <f>IMAGE("https://raw.githubusercontent.com/leslita06/dreamcosmetics-maquette/main/photos/575.jpg")</f>
        <v/>
      </c>
      <c r="H62" s="4" t="inlineStr">
        <is>
          <t>http://dreamcosmetics.net/fr/product/homme/d%C3%A9odorant/day-day-d%C3%A9odorant-spray-attract-power</t>
        </is>
      </c>
      <c r="I62" s="4" t="inlineStr">
        <is>
          <t>Site Dream Cosmetics</t>
        </is>
      </c>
      <c r="J62" s="4" t="inlineStr"/>
    </row>
    <row r="63" ht="70" customHeight="1">
      <c r="A63" s="4" t="inlineStr">
        <is>
          <t>Day by Day</t>
        </is>
      </c>
      <c r="B63" s="4" t="inlineStr">
        <is>
          <t>Day by day Men</t>
        </is>
      </c>
      <c r="C63" s="4" t="inlineStr">
        <is>
          <t>DAY BY DAY MAN Lait hydratant Attract power</t>
        </is>
      </c>
      <c r="D63" s="4" t="inlineStr">
        <is>
          <t>Homme</t>
        </is>
      </c>
      <c r="E63" s="4" t="inlineStr">
        <is>
          <t>Lait</t>
        </is>
      </c>
      <c r="F63" s="5" t="inlineStr">
        <is>
          <t>à confirmer</t>
        </is>
      </c>
      <c r="G63" s="4">
        <f>IMAGE("https://raw.githubusercontent.com/leslita06/dreamcosmetics-maquette/main/photos/499.jpg")</f>
        <v/>
      </c>
      <c r="H63" s="4" t="inlineStr">
        <is>
          <t>http://dreamcosmetics.net/fr/product/homme/lait/day-day-man-lait-hydratant-attract-power</t>
        </is>
      </c>
      <c r="I63" s="4" t="inlineStr">
        <is>
          <t>Site Dream Cosmetics</t>
        </is>
      </c>
      <c r="J63" s="4" t="inlineStr"/>
    </row>
    <row r="64" ht="70" customHeight="1">
      <c r="A64" s="4" t="inlineStr">
        <is>
          <t>Day by Day</t>
        </is>
      </c>
      <c r="B64" s="4" t="inlineStr">
        <is>
          <t>Day by day Men</t>
        </is>
      </c>
      <c r="C64" s="4" t="inlineStr">
        <is>
          <t>Day by day men crème perfect day</t>
        </is>
      </c>
      <c r="D64" s="4" t="inlineStr">
        <is>
          <t>Homme</t>
        </is>
      </c>
      <c r="E64" s="4" t="inlineStr">
        <is>
          <t>Crème</t>
        </is>
      </c>
      <c r="F64" s="5" t="inlineStr">
        <is>
          <t>à confirmer</t>
        </is>
      </c>
      <c r="G64" s="4">
        <f>IMAGE("https://raw.githubusercontent.com/leslita06/dreamcosmetics-maquette/main/photos/122.jpg")</f>
        <v/>
      </c>
      <c r="H64" s="4" t="inlineStr">
        <is>
          <t>http://dreamcosmetics.net/fr/product/homme/cr%C3%A8me/day-day-men-cr%C3%A8me-perfect-day</t>
        </is>
      </c>
      <c r="I64" s="4" t="inlineStr">
        <is>
          <t>Site Dream Cosmetics</t>
        </is>
      </c>
      <c r="J64" s="4" t="inlineStr"/>
    </row>
    <row r="65" ht="70" customHeight="1">
      <c r="A65" s="4" t="inlineStr">
        <is>
          <t>Day by Day</t>
        </is>
      </c>
      <c r="B65" s="4" t="inlineStr">
        <is>
          <t>Day by day Men</t>
        </is>
      </c>
      <c r="C65" s="4" t="inlineStr">
        <is>
          <t>Day by day men déodorant roll-on attract power</t>
        </is>
      </c>
      <c r="D65" s="4" t="inlineStr">
        <is>
          <t>Parfum</t>
        </is>
      </c>
      <c r="E65" s="4" t="inlineStr">
        <is>
          <t>Déodorant</t>
        </is>
      </c>
      <c r="F65" s="5" t="inlineStr">
        <is>
          <t>à confirmer</t>
        </is>
      </c>
      <c r="G65" s="4">
        <f>IMAGE("https://raw.githubusercontent.com/leslita06/dreamcosmetics-maquette/main/photos/501.jpg")</f>
        <v/>
      </c>
      <c r="H65" s="4" t="inlineStr">
        <is>
          <t>http://dreamcosmetics.net/fr/product/homme/d%C3%A9odorant/day-day-men-d%C3%A9odorant-roll-attract-power</t>
        </is>
      </c>
      <c r="I65" s="4" t="inlineStr">
        <is>
          <t>Site Dream Cosmetics</t>
        </is>
      </c>
      <c r="J65" s="4" t="inlineStr"/>
    </row>
    <row r="66" ht="70" customHeight="1">
      <c r="A66" s="4" t="inlineStr">
        <is>
          <t>Day by Day</t>
        </is>
      </c>
      <c r="B66" s="4" t="inlineStr">
        <is>
          <t>Day by day Men</t>
        </is>
      </c>
      <c r="C66" s="4" t="inlineStr">
        <is>
          <t>Day by day men déodorant roll-on energy boost</t>
        </is>
      </c>
      <c r="D66" s="4" t="inlineStr">
        <is>
          <t>Parfum</t>
        </is>
      </c>
      <c r="E66" s="4" t="inlineStr">
        <is>
          <t>Déodorant</t>
        </is>
      </c>
      <c r="F66" s="5" t="inlineStr">
        <is>
          <t>à confirmer</t>
        </is>
      </c>
      <c r="G66" s="4">
        <f>IMAGE("https://raw.githubusercontent.com/leslita06/dreamcosmetics-maquette/main/photos/572.jpg")</f>
        <v/>
      </c>
      <c r="H66" s="4" t="inlineStr">
        <is>
          <t>http://dreamcosmetics.net/fr/product/homme/d%C3%A9odorant/day-day-men-d%C3%A9odorant-roll-energy-boost</t>
        </is>
      </c>
      <c r="I66" s="4" t="inlineStr">
        <is>
          <t>Site Dream Cosmetics</t>
        </is>
      </c>
      <c r="J66" s="4" t="inlineStr"/>
    </row>
    <row r="67" ht="70" customHeight="1">
      <c r="A67" s="4" t="inlineStr">
        <is>
          <t>Day by Day</t>
        </is>
      </c>
      <c r="B67" s="4" t="inlineStr">
        <is>
          <t>Day by day Men</t>
        </is>
      </c>
      <c r="C67" s="4" t="inlineStr">
        <is>
          <t>Day by day men déodorant roll-on extra dry</t>
        </is>
      </c>
      <c r="D67" s="4" t="inlineStr">
        <is>
          <t>Parfum</t>
        </is>
      </c>
      <c r="E67" s="4" t="inlineStr">
        <is>
          <t>Déodorant</t>
        </is>
      </c>
      <c r="F67" s="5" t="inlineStr">
        <is>
          <t>à confirmer</t>
        </is>
      </c>
      <c r="G67" s="4">
        <f>IMAGE("https://raw.githubusercontent.com/leslita06/dreamcosmetics-maquette/main/photos/573.jpg")</f>
        <v/>
      </c>
      <c r="H67" s="4" t="inlineStr">
        <is>
          <t>http://dreamcosmetics.net/fr/product/homme/d%C3%A9odorant/day-day-men-d%C3%A9odorant-roll-extra-dry</t>
        </is>
      </c>
      <c r="I67" s="4" t="inlineStr">
        <is>
          <t>Site Dream Cosmetics</t>
        </is>
      </c>
      <c r="J67" s="4" t="inlineStr"/>
    </row>
    <row r="68" ht="70" customHeight="1">
      <c r="A68" s="4" t="inlineStr">
        <is>
          <t>Day by Day</t>
        </is>
      </c>
      <c r="B68" s="4" t="inlineStr">
        <is>
          <t>Day by day Men</t>
        </is>
      </c>
      <c r="C68" s="4" t="inlineStr">
        <is>
          <t>Day by day men déodorant spray energy boost</t>
        </is>
      </c>
      <c r="D68" s="4" t="inlineStr">
        <is>
          <t>Parfum</t>
        </is>
      </c>
      <c r="E68" s="4" t="inlineStr">
        <is>
          <t>Déodorant</t>
        </is>
      </c>
      <c r="F68" s="5" t="inlineStr">
        <is>
          <t>à confirmer</t>
        </is>
      </c>
      <c r="G68" s="4">
        <f>IMAGE("https://raw.githubusercontent.com/leslita06/dreamcosmetics-maquette/main/photos/574.jpg")</f>
        <v/>
      </c>
      <c r="H68" s="4" t="inlineStr">
        <is>
          <t>http://dreamcosmetics.net/fr/product/homme/d%C3%A9odorant/day-day-men-d%C3%A9odorant-spray-energy-boost</t>
        </is>
      </c>
      <c r="I68" s="4" t="inlineStr">
        <is>
          <t>Site Dream Cosmetics</t>
        </is>
      </c>
      <c r="J68" s="4" t="inlineStr"/>
    </row>
    <row r="69" ht="70" customHeight="1">
      <c r="A69" s="4" t="inlineStr">
        <is>
          <t>Day by Day</t>
        </is>
      </c>
      <c r="B69" s="4" t="inlineStr">
        <is>
          <t>Day by day Men</t>
        </is>
      </c>
      <c r="C69" s="4" t="inlineStr">
        <is>
          <t>Day by day men déodorant spray extra dry</t>
        </is>
      </c>
      <c r="D69" s="4" t="inlineStr">
        <is>
          <t>Parfum</t>
        </is>
      </c>
      <c r="E69" s="4" t="inlineStr">
        <is>
          <t>Déodorant</t>
        </is>
      </c>
      <c r="F69" s="5" t="inlineStr">
        <is>
          <t>à confirmer</t>
        </is>
      </c>
      <c r="G69" s="4">
        <f>IMAGE("https://raw.githubusercontent.com/leslita06/dreamcosmetics-maquette/main/photos/576.jpg")</f>
        <v/>
      </c>
      <c r="H69" s="4" t="inlineStr">
        <is>
          <t>http://dreamcosmetics.net/fr/product/homme/d%C3%A9odorant/day-day-men-d%C3%A9odorant-spray-extra-dry</t>
        </is>
      </c>
      <c r="I69" s="4" t="inlineStr">
        <is>
          <t>Site Dream Cosmetics</t>
        </is>
      </c>
      <c r="J69" s="4" t="inlineStr"/>
    </row>
    <row r="70" ht="70" customHeight="1">
      <c r="A70" s="4" t="inlineStr">
        <is>
          <t>Day by Day</t>
        </is>
      </c>
      <c r="B70" s="4" t="inlineStr">
        <is>
          <t>Day by day Men</t>
        </is>
      </c>
      <c r="C70" s="4" t="inlineStr">
        <is>
          <t>Day by day men eau de cologne coolness</t>
        </is>
      </c>
      <c r="D70" s="4" t="inlineStr">
        <is>
          <t>Parfum</t>
        </is>
      </c>
      <c r="E70" s="4" t="inlineStr">
        <is>
          <t>Eau de cologne</t>
        </is>
      </c>
      <c r="F70" s="5" t="inlineStr">
        <is>
          <t>à confirmer</t>
        </is>
      </c>
      <c r="G70" s="4">
        <f>IMAGE("https://raw.githubusercontent.com/leslita06/dreamcosmetics-maquette/main/photos/123.jpg")</f>
        <v/>
      </c>
      <c r="H70" s="4" t="inlineStr">
        <is>
          <t>http://dreamcosmetics.net/fr/product/homme/eau-de-cologne/day-day-men-eau-de-cologne-coolness</t>
        </is>
      </c>
      <c r="I70" s="4" t="inlineStr">
        <is>
          <t>Site Dream Cosmetics</t>
        </is>
      </c>
      <c r="J70" s="4" t="inlineStr"/>
    </row>
    <row r="71" ht="70" customHeight="1">
      <c r="A71" s="4" t="inlineStr">
        <is>
          <t>Day by Day</t>
        </is>
      </c>
      <c r="B71" s="4" t="inlineStr">
        <is>
          <t>Day by day Men</t>
        </is>
      </c>
      <c r="C71" s="4" t="inlineStr">
        <is>
          <t>Day by day men gel douche attract power</t>
        </is>
      </c>
      <c r="D71" s="4" t="inlineStr">
        <is>
          <t>Homme</t>
        </is>
      </c>
      <c r="E71" s="4" t="inlineStr">
        <is>
          <t>Gel douche</t>
        </is>
      </c>
      <c r="F71" s="5" t="inlineStr">
        <is>
          <t>à confirmer</t>
        </is>
      </c>
      <c r="G71" s="4">
        <f>IMAGE("https://raw.githubusercontent.com/leslita06/dreamcosmetics-maquette/main/photos/257.jpg")</f>
        <v/>
      </c>
      <c r="H71" s="4" t="inlineStr">
        <is>
          <t>http://dreamcosmetics.net/fr/product/homme/gel-douche/day-day-men-gel-douche-attract-power</t>
        </is>
      </c>
      <c r="I71" s="4" t="inlineStr">
        <is>
          <t>Site Dream Cosmetics</t>
        </is>
      </c>
      <c r="J71" s="4" t="inlineStr"/>
    </row>
    <row r="72" ht="70" customHeight="1">
      <c r="A72" s="4" t="inlineStr">
        <is>
          <t>Day by Day</t>
        </is>
      </c>
      <c r="B72" s="4" t="inlineStr">
        <is>
          <t>Day by day Men</t>
        </is>
      </c>
      <c r="C72" s="4" t="inlineStr">
        <is>
          <t>Day by Day Men gel douche Energy boost</t>
        </is>
      </c>
      <c r="D72" s="4" t="inlineStr">
        <is>
          <t>Homme</t>
        </is>
      </c>
      <c r="E72" s="4" t="inlineStr">
        <is>
          <t>Gel douche</t>
        </is>
      </c>
      <c r="F72" s="5" t="inlineStr">
        <is>
          <t>à confirmer</t>
        </is>
      </c>
      <c r="G72" s="4">
        <f>IMAGE("https://raw.githubusercontent.com/leslita06/dreamcosmetics-maquette/main/photos/258.jpg")</f>
        <v/>
      </c>
      <c r="H72" s="4" t="inlineStr">
        <is>
          <t>http://dreamcosmetics.net/fr/product/homme/gel-douche/day-day-men-gel-douche-energy-boost</t>
        </is>
      </c>
      <c r="I72" s="4" t="inlineStr">
        <is>
          <t>Site Dream Cosmetics</t>
        </is>
      </c>
      <c r="J72" s="4" t="inlineStr"/>
    </row>
    <row r="73" ht="70" customHeight="1">
      <c r="A73" s="4" t="inlineStr">
        <is>
          <t>Day by Day</t>
        </is>
      </c>
      <c r="B73" s="4" t="inlineStr">
        <is>
          <t>Day by day Men</t>
        </is>
      </c>
      <c r="C73" s="4" t="inlineStr">
        <is>
          <t>Day by day men gel douche fresh clean</t>
        </is>
      </c>
      <c r="D73" s="4" t="inlineStr">
        <is>
          <t>Homme</t>
        </is>
      </c>
      <c r="E73" s="4" t="inlineStr">
        <is>
          <t>Gel douche</t>
        </is>
      </c>
      <c r="F73" s="5" t="inlineStr">
        <is>
          <t>à confirmer</t>
        </is>
      </c>
      <c r="G73" s="4">
        <f>IMAGE("https://raw.githubusercontent.com/leslita06/dreamcosmetics-maquette/main/photos/124.jpg")</f>
        <v/>
      </c>
      <c r="H73" s="4" t="inlineStr">
        <is>
          <t>http://dreamcosmetics.net/fr/product/homme/gel-douche/day-day-men-gel-douche-fresh-clean</t>
        </is>
      </c>
      <c r="I73" s="4" t="inlineStr">
        <is>
          <t>Site Dream Cosmetics</t>
        </is>
      </c>
      <c r="J73" s="4" t="inlineStr"/>
    </row>
    <row r="74" ht="70" customHeight="1">
      <c r="A74" s="4" t="inlineStr">
        <is>
          <t>Day by Day</t>
        </is>
      </c>
      <c r="B74" s="4" t="inlineStr">
        <is>
          <t>Day by day Men</t>
        </is>
      </c>
      <c r="C74" s="4" t="inlineStr">
        <is>
          <t>Day by day men lait hydratant energy boost</t>
        </is>
      </c>
      <c r="D74" s="4" t="inlineStr">
        <is>
          <t>Homme</t>
        </is>
      </c>
      <c r="E74" s="4" t="inlineStr">
        <is>
          <t>Lait</t>
        </is>
      </c>
      <c r="F74" s="5" t="inlineStr">
        <is>
          <t>à confirmer</t>
        </is>
      </c>
      <c r="G74" s="4">
        <f>IMAGE("https://raw.githubusercontent.com/leslita06/dreamcosmetics-maquette/main/photos/571.jpg")</f>
        <v/>
      </c>
      <c r="H74" s="4" t="inlineStr">
        <is>
          <t>http://dreamcosmetics.net/fr/product/homme/lait/day-day-men-lait-hydratant-energy-boost-0</t>
        </is>
      </c>
      <c r="I74" s="4" t="inlineStr">
        <is>
          <t>Site Dream Cosmetics</t>
        </is>
      </c>
      <c r="J74" s="4" t="inlineStr"/>
    </row>
    <row r="75" ht="70" customHeight="1">
      <c r="A75" s="4" t="inlineStr">
        <is>
          <t>Day by Day</t>
        </is>
      </c>
      <c r="B75" s="4" t="inlineStr">
        <is>
          <t>Day by day Men</t>
        </is>
      </c>
      <c r="C75" s="4" t="inlineStr">
        <is>
          <t>Day by day men Lait hydratant perfect day</t>
        </is>
      </c>
      <c r="D75" s="4" t="inlineStr">
        <is>
          <t>Homme</t>
        </is>
      </c>
      <c r="E75" s="4" t="inlineStr">
        <is>
          <t>Lait</t>
        </is>
      </c>
      <c r="F75" s="5" t="inlineStr">
        <is>
          <t>à confirmer</t>
        </is>
      </c>
      <c r="G75" s="4">
        <f>IMAGE("https://raw.githubusercontent.com/leslita06/dreamcosmetics-maquette/main/photos/125.jpg")</f>
        <v/>
      </c>
      <c r="H75" s="4" t="inlineStr">
        <is>
          <t>http://dreamcosmetics.net/fr/product/homme/lait/day-day-men-lait-hydratant-perfect-day</t>
        </is>
      </c>
      <c r="I75" s="4" t="inlineStr">
        <is>
          <t>Site Dream Cosmetics</t>
        </is>
      </c>
      <c r="J75" s="4" t="inlineStr"/>
    </row>
    <row r="76" ht="70" customHeight="1">
      <c r="A76" s="4" t="inlineStr">
        <is>
          <t>Day by Day</t>
        </is>
      </c>
      <c r="B76" s="4" t="inlineStr">
        <is>
          <t>Day by day Men</t>
        </is>
      </c>
      <c r="C76" s="4" t="inlineStr">
        <is>
          <t>Day by day men Pommade après-rasage</t>
        </is>
      </c>
      <c r="D76" s="4" t="inlineStr">
        <is>
          <t>Homme</t>
        </is>
      </c>
      <c r="E76" s="4" t="inlineStr">
        <is>
          <t>Baume</t>
        </is>
      </c>
      <c r="F76" s="5" t="inlineStr">
        <is>
          <t>à confirmer</t>
        </is>
      </c>
      <c r="G76" s="4">
        <f>IMAGE("https://raw.githubusercontent.com/leslita06/dreamcosmetics-maquette/main/photos/569.jpg")</f>
        <v/>
      </c>
      <c r="H76" s="4" t="inlineStr">
        <is>
          <t>http://dreamcosmetics.net/fr/product/homme/baume/day-day-men-pommade-apr%C3%A8s-rasage</t>
        </is>
      </c>
      <c r="I76" s="4" t="inlineStr">
        <is>
          <t>Site Dream Cosmetics</t>
        </is>
      </c>
      <c r="J76" s="4" t="inlineStr"/>
    </row>
    <row r="77" ht="70" customHeight="1">
      <c r="A77" s="4" t="inlineStr">
        <is>
          <t>Day by Day</t>
        </is>
      </c>
      <c r="B77" s="4" t="inlineStr">
        <is>
          <t>Day by day Men</t>
        </is>
      </c>
      <c r="C77" s="4" t="inlineStr">
        <is>
          <t>Day by day men pommade réparatrice perfect day</t>
        </is>
      </c>
      <c r="D77" s="4" t="inlineStr">
        <is>
          <t>Parfum</t>
        </is>
      </c>
      <c r="E77" s="4" t="inlineStr">
        <is>
          <t>Déodorant</t>
        </is>
      </c>
      <c r="F77" s="5" t="inlineStr">
        <is>
          <t>à confirmer</t>
        </is>
      </c>
      <c r="G77" s="4">
        <f>IMAGE("https://raw.githubusercontent.com/leslita06/dreamcosmetics-maquette/main/photos/577.jpg")</f>
        <v/>
      </c>
      <c r="H77" s="4" t="inlineStr">
        <is>
          <t>http://dreamcosmetics.net/fr/product/homme/d%C3%A9odorant/day-day-men-pommade-r%C3%A9paratrice-perfect-day</t>
        </is>
      </c>
      <c r="I77" s="4" t="inlineStr">
        <is>
          <t>Site Dream Cosmetics</t>
        </is>
      </c>
      <c r="J77" s="4" t="inlineStr"/>
    </row>
    <row r="78" ht="70" customHeight="1">
      <c r="A78" s="4" t="inlineStr">
        <is>
          <t>Day by Day</t>
        </is>
      </c>
      <c r="B78" s="4" t="inlineStr">
        <is>
          <t>Day by day Men</t>
        </is>
      </c>
      <c r="C78" s="4" t="inlineStr">
        <is>
          <t>Day by Day Men savon deep clean</t>
        </is>
      </c>
      <c r="D78" s="4" t="inlineStr">
        <is>
          <t>Savon</t>
        </is>
      </c>
      <c r="E78" s="4" t="inlineStr">
        <is>
          <t>Savon</t>
        </is>
      </c>
      <c r="F78" s="5" t="inlineStr">
        <is>
          <t>à confirmer</t>
        </is>
      </c>
      <c r="G78" s="4">
        <f>IMAGE("https://raw.githubusercontent.com/leslita06/dreamcosmetics-maquette/main/photos/126.jpg")</f>
        <v/>
      </c>
      <c r="H78" s="4" t="inlineStr">
        <is>
          <t>http://dreamcosmetics.net/fr/product/homme/savon/day-day-men-savon-deep-clean</t>
        </is>
      </c>
      <c r="I78" s="4" t="inlineStr">
        <is>
          <t>Site Dream Cosmetics</t>
        </is>
      </c>
      <c r="J78" s="4" t="inlineStr"/>
    </row>
    <row r="79" ht="70" customHeight="1">
      <c r="A79" s="4" t="inlineStr">
        <is>
          <t>Day by Day</t>
        </is>
      </c>
      <c r="B79" s="4" t="inlineStr">
        <is>
          <t>Day by day Men</t>
        </is>
      </c>
      <c r="C79" s="4" t="inlineStr">
        <is>
          <t>Day by Day Men vanity</t>
        </is>
      </c>
      <c r="D79" s="4" t="inlineStr">
        <is>
          <t>Homme</t>
        </is>
      </c>
      <c r="E79" s="4" t="inlineStr">
        <is>
          <t>Coffret</t>
        </is>
      </c>
      <c r="F79" s="5" t="inlineStr">
        <is>
          <t>à confirmer</t>
        </is>
      </c>
      <c r="G79" s="4">
        <f>IMAGE("https://raw.githubusercontent.com/leslita06/dreamcosmetics-maquette/main/photos/312.jpg")</f>
        <v/>
      </c>
      <c r="H79" s="4" t="inlineStr">
        <is>
          <t>http://dreamcosmetics.net/fr/product/homme/coffret/day-day-men-vanity</t>
        </is>
      </c>
      <c r="I79" s="4" t="inlineStr">
        <is>
          <t>Site Dream Cosmetics</t>
        </is>
      </c>
      <c r="J79" s="4" t="inlineStr"/>
    </row>
    <row r="80" ht="70" customHeight="1">
      <c r="A80" s="4" t="inlineStr">
        <is>
          <t>Day by Day</t>
        </is>
      </c>
      <c r="B80" s="4" t="inlineStr">
        <is>
          <t>Day by Day Men sport</t>
        </is>
      </c>
      <c r="C80" s="4" t="inlineStr">
        <is>
          <t>Day by day men sport - tube menthol</t>
        </is>
      </c>
      <c r="D80" s="4" t="inlineStr">
        <is>
          <t>Homme</t>
        </is>
      </c>
      <c r="E80" s="4" t="inlineStr">
        <is>
          <t>Crème</t>
        </is>
      </c>
      <c r="F80" s="5" t="inlineStr">
        <is>
          <t>à confirmer</t>
        </is>
      </c>
      <c r="G80" s="4">
        <f>IMAGE("https://raw.githubusercontent.com/leslita06/dreamcosmetics-maquette/main/photos/311.jpg")</f>
        <v/>
      </c>
      <c r="H80" s="4" t="inlineStr">
        <is>
          <t>http://dreamcosmetics.net/fr/product/homme/cr%C3%A8me/day-day-men-sport-tube-menthol</t>
        </is>
      </c>
      <c r="I80" s="4" t="inlineStr">
        <is>
          <t>Site Dream Cosmetics</t>
        </is>
      </c>
      <c r="J80" s="4" t="inlineStr"/>
    </row>
    <row r="81" ht="70" customHeight="1">
      <c r="A81" s="4" t="inlineStr">
        <is>
          <t>Day by Day</t>
        </is>
      </c>
      <c r="B81" s="4" t="inlineStr">
        <is>
          <t>Day by Day Men sport</t>
        </is>
      </c>
      <c r="C81" s="4" t="inlineStr">
        <is>
          <t>Day by Day Men Sport Baume Menthol</t>
        </is>
      </c>
      <c r="D81" s="4" t="inlineStr">
        <is>
          <t>Homme</t>
        </is>
      </c>
      <c r="E81" s="4" t="inlineStr">
        <is>
          <t>Baume</t>
        </is>
      </c>
      <c r="F81" s="5" t="inlineStr">
        <is>
          <t>à confirmer</t>
        </is>
      </c>
      <c r="G81" s="4">
        <f>IMAGE("https://raw.githubusercontent.com/leslita06/dreamcosmetics-maquette/main/photos/127.jpg")</f>
        <v/>
      </c>
      <c r="H81" s="4" t="inlineStr">
        <is>
          <t>http://dreamcosmetics.net/fr/product/homme/baume/day-day-men-sport-baume-menthol</t>
        </is>
      </c>
      <c r="I81" s="4" t="inlineStr">
        <is>
          <t>Site Dream Cosmetics</t>
        </is>
      </c>
      <c r="J81" s="4" t="inlineStr"/>
    </row>
    <row r="82" ht="70" customHeight="1">
      <c r="A82" s="4" t="inlineStr">
        <is>
          <t>Day by Day</t>
        </is>
      </c>
      <c r="B82" s="4" t="inlineStr">
        <is>
          <t>Day by Day Men sport</t>
        </is>
      </c>
      <c r="C82" s="4" t="inlineStr">
        <is>
          <t>Day by Day Men Sport Crème</t>
        </is>
      </c>
      <c r="D82" s="4" t="inlineStr">
        <is>
          <t>Homme</t>
        </is>
      </c>
      <c r="E82" s="4" t="inlineStr">
        <is>
          <t>Crème</t>
        </is>
      </c>
      <c r="F82" s="5" t="inlineStr">
        <is>
          <t>à confirmer</t>
        </is>
      </c>
      <c r="G82" s="4">
        <f>IMAGE("https://raw.githubusercontent.com/leslita06/dreamcosmetics-maquette/main/photos/128.jpg")</f>
        <v/>
      </c>
      <c r="H82" s="4" t="inlineStr">
        <is>
          <t>http://dreamcosmetics.net/fr/product/homme/cr%C3%A8me/day-day-men-sport-cr%C3%A8me</t>
        </is>
      </c>
      <c r="I82" s="4" t="inlineStr">
        <is>
          <t>Site Dream Cosmetics</t>
        </is>
      </c>
      <c r="J82" s="4" t="inlineStr"/>
    </row>
    <row r="83" ht="70" customHeight="1">
      <c r="A83" s="4" t="inlineStr">
        <is>
          <t>Day by Day</t>
        </is>
      </c>
      <c r="B83" s="4" t="inlineStr">
        <is>
          <t>Day by Day Men sport</t>
        </is>
      </c>
      <c r="C83" s="4" t="inlineStr">
        <is>
          <t>DAY BY DAY MEN SPORT déodorant roll-on chrono fresh</t>
        </is>
      </c>
      <c r="D83" s="4" t="inlineStr">
        <is>
          <t>Parfum</t>
        </is>
      </c>
      <c r="E83" s="4" t="inlineStr">
        <is>
          <t>Déodorant</t>
        </is>
      </c>
      <c r="F83" s="5" t="inlineStr">
        <is>
          <t>à confirmer</t>
        </is>
      </c>
      <c r="G83" s="4">
        <f>IMAGE("https://raw.githubusercontent.com/leslita06/dreamcosmetics-maquette/main/photos/578.jpg")</f>
        <v/>
      </c>
      <c r="H83" s="4" t="inlineStr">
        <is>
          <t>http://dreamcosmetics.net/fr/product/homme/d%C3%A9odorant/day-day-men-sport-d%C3%A9odorant-roll-chrono-fresh-0</t>
        </is>
      </c>
      <c r="I83" s="4" t="inlineStr">
        <is>
          <t>Site Dream Cosmetics</t>
        </is>
      </c>
      <c r="J83" s="4" t="inlineStr"/>
    </row>
    <row r="84" ht="70" customHeight="1">
      <c r="A84" s="4" t="inlineStr">
        <is>
          <t>Day by Day</t>
        </is>
      </c>
      <c r="B84" s="4" t="inlineStr">
        <is>
          <t>Day by Day Men sport</t>
        </is>
      </c>
      <c r="C84" s="4" t="inlineStr">
        <is>
          <t>Day by Day Men Sport Eau de cologne</t>
        </is>
      </c>
      <c r="D84" s="4" t="inlineStr">
        <is>
          <t>Parfum</t>
        </is>
      </c>
      <c r="E84" s="4" t="inlineStr">
        <is>
          <t>Eau de cologne</t>
        </is>
      </c>
      <c r="F84" s="5" t="inlineStr">
        <is>
          <t>à confirmer</t>
        </is>
      </c>
      <c r="G84" s="4">
        <f>IMAGE("https://raw.githubusercontent.com/leslita06/dreamcosmetics-maquette/main/photos/129.jpg")</f>
        <v/>
      </c>
      <c r="H84" s="4" t="inlineStr">
        <is>
          <t>http://dreamcosmetics.net/fr/product/homme/eau-de-cologne/day-day-men-sport-eau-de-cologne</t>
        </is>
      </c>
      <c r="I84" s="4" t="inlineStr">
        <is>
          <t>Site Dream Cosmetics</t>
        </is>
      </c>
      <c r="J84" s="4" t="inlineStr"/>
    </row>
    <row r="85" ht="70" customHeight="1">
      <c r="A85" s="4" t="inlineStr">
        <is>
          <t>Day by Day</t>
        </is>
      </c>
      <c r="B85" s="4" t="inlineStr">
        <is>
          <t>Day by Day Men sport</t>
        </is>
      </c>
      <c r="C85" s="4" t="inlineStr">
        <is>
          <t>Day by Day Men Sport Gel douche</t>
        </is>
      </c>
      <c r="D85" s="4" t="inlineStr">
        <is>
          <t>Homme</t>
        </is>
      </c>
      <c r="E85" s="4" t="inlineStr">
        <is>
          <t>Gel douche</t>
        </is>
      </c>
      <c r="F85" s="5" t="inlineStr">
        <is>
          <t>à confirmer</t>
        </is>
      </c>
      <c r="G85" s="4">
        <f>IMAGE("https://raw.githubusercontent.com/leslita06/dreamcosmetics-maquette/main/photos/131.jpg")</f>
        <v/>
      </c>
      <c r="H85" s="4" t="inlineStr">
        <is>
          <t>http://dreamcosmetics.net/fr/product/homme/gel-douche/day-day-men-sport-gel-douche</t>
        </is>
      </c>
      <c r="I85" s="4" t="inlineStr">
        <is>
          <t>Site Dream Cosmetics</t>
        </is>
      </c>
      <c r="J85" s="4" t="inlineStr"/>
    </row>
    <row r="86" ht="70" customHeight="1">
      <c r="A86" s="4" t="inlineStr">
        <is>
          <t>Day by Day</t>
        </is>
      </c>
      <c r="B86" s="4" t="inlineStr">
        <is>
          <t>Day by Day Men sport</t>
        </is>
      </c>
      <c r="C86" s="4" t="inlineStr">
        <is>
          <t>Day by day Men Sport Lait</t>
        </is>
      </c>
      <c r="D86" s="4" t="inlineStr">
        <is>
          <t>Homme</t>
        </is>
      </c>
      <c r="E86" s="4" t="inlineStr">
        <is>
          <t>Lait</t>
        </is>
      </c>
      <c r="F86" s="5" t="inlineStr">
        <is>
          <t>à confirmer</t>
        </is>
      </c>
      <c r="G86" s="4">
        <f>IMAGE("https://raw.githubusercontent.com/leslita06/dreamcosmetics-maquette/main/photos/132.jpg")</f>
        <v/>
      </c>
      <c r="H86" s="4" t="inlineStr">
        <is>
          <t>http://dreamcosmetics.net/fr/product/homme/lait/day-day-men-sport-lait</t>
        </is>
      </c>
      <c r="I86" s="4" t="inlineStr">
        <is>
          <t>Site Dream Cosmetics</t>
        </is>
      </c>
      <c r="J86" s="4" t="inlineStr"/>
    </row>
    <row r="87" ht="70" customHeight="1">
      <c r="A87" s="4" t="inlineStr">
        <is>
          <t>Day by Day</t>
        </is>
      </c>
      <c r="B87" s="4" t="inlineStr">
        <is>
          <t>Day by Day Men sport</t>
        </is>
      </c>
      <c r="C87" s="4" t="inlineStr">
        <is>
          <t>Day by Day Men Sport savon</t>
        </is>
      </c>
      <c r="D87" s="4" t="inlineStr">
        <is>
          <t>Savon</t>
        </is>
      </c>
      <c r="E87" s="4" t="inlineStr">
        <is>
          <t>Savon</t>
        </is>
      </c>
      <c r="F87" s="5" t="inlineStr">
        <is>
          <t>à confirmer</t>
        </is>
      </c>
      <c r="G87" s="4">
        <f>IMAGE("https://raw.githubusercontent.com/leslita06/dreamcosmetics-maquette/main/photos/130.jpg")</f>
        <v/>
      </c>
      <c r="H87" s="4" t="inlineStr">
        <is>
          <t>http://dreamcosmetics.net/fr/product/homme/savon/day-day-men-sport-savon</t>
        </is>
      </c>
      <c r="I87" s="4" t="inlineStr">
        <is>
          <t>Site Dream Cosmetics</t>
        </is>
      </c>
      <c r="J87" s="4" t="inlineStr"/>
    </row>
    <row r="88" ht="70" customHeight="1">
      <c r="A88" s="4" t="inlineStr">
        <is>
          <t>Day by Day</t>
        </is>
      </c>
      <c r="B88" s="4" t="inlineStr">
        <is>
          <t>Day by Day Men sport</t>
        </is>
      </c>
      <c r="C88" s="4" t="inlineStr">
        <is>
          <t>DAY BY DAY MEN SPORT spray déodorant chrono fresh</t>
        </is>
      </c>
      <c r="D88" s="4" t="inlineStr">
        <is>
          <t>Parfum</t>
        </is>
      </c>
      <c r="E88" s="4" t="inlineStr">
        <is>
          <t>Déodorant</t>
        </is>
      </c>
      <c r="F88" s="5" t="inlineStr">
        <is>
          <t>à confirmer</t>
        </is>
      </c>
      <c r="G88" s="4">
        <f>IMAGE("https://raw.githubusercontent.com/leslita06/dreamcosmetics-maquette/main/photos/579.jpg")</f>
        <v/>
      </c>
      <c r="H88" s="4" t="inlineStr">
        <is>
          <t>http://dreamcosmetics.net/fr/product/homme/d%C3%A9odorant/day-day-men-sport-spray-d%C3%A9odorant-chrono-fresh</t>
        </is>
      </c>
      <c r="I88" s="4" t="inlineStr">
        <is>
          <t>Site Dream Cosmetics</t>
        </is>
      </c>
      <c r="J88" s="4" t="inlineStr"/>
    </row>
    <row r="89" ht="70" customHeight="1">
      <c r="A89" s="4" t="inlineStr">
        <is>
          <t>Day by Day</t>
        </is>
      </c>
      <c r="B89" s="4" t="inlineStr">
        <is>
          <t>Day by Day Men sport</t>
        </is>
      </c>
      <c r="C89" s="4" t="inlineStr">
        <is>
          <t>Day by Day Men Sport Talc</t>
        </is>
      </c>
      <c r="D89" s="4" t="inlineStr">
        <is>
          <t>Homme</t>
        </is>
      </c>
      <c r="E89" s="4" t="inlineStr">
        <is>
          <t>Talc</t>
        </is>
      </c>
      <c r="F89" s="5" t="inlineStr">
        <is>
          <t>à confirmer</t>
        </is>
      </c>
      <c r="G89" s="4">
        <f>IMAGE("https://raw.githubusercontent.com/leslita06/dreamcosmetics-maquette/main/photos/133.jpg")</f>
        <v/>
      </c>
      <c r="H89" s="4" t="inlineStr">
        <is>
          <t>http://dreamcosmetics.net/fr/product/homme/talc/day-day-men-sport-talc</t>
        </is>
      </c>
      <c r="I89" s="4" t="inlineStr">
        <is>
          <t>Site Dream Cosmetics</t>
        </is>
      </c>
      <c r="J89" s="4" t="inlineStr"/>
    </row>
    <row r="90" ht="70" customHeight="1">
      <c r="A90" s="4" t="inlineStr">
        <is>
          <t>Day by Day</t>
        </is>
      </c>
      <c r="B90" s="4" t="inlineStr">
        <is>
          <t>Day by Day Men sport</t>
        </is>
      </c>
      <c r="C90" s="4" t="inlineStr">
        <is>
          <t>Day by Day Men Sport Vanity</t>
        </is>
      </c>
      <c r="D90" s="4" t="inlineStr">
        <is>
          <t>Homme</t>
        </is>
      </c>
      <c r="E90" s="4" t="inlineStr">
        <is>
          <t>Coffret</t>
        </is>
      </c>
      <c r="F90" s="5" t="inlineStr">
        <is>
          <t>à confirmer</t>
        </is>
      </c>
      <c r="G90" s="4">
        <f>IMAGE("https://raw.githubusercontent.com/leslita06/dreamcosmetics-maquette/main/photos/314.jpg")</f>
        <v/>
      </c>
      <c r="H90" s="4" t="inlineStr">
        <is>
          <t>http://dreamcosmetics.net/fr/product/homme/coffret/day-day-men-sport-vanity</t>
        </is>
      </c>
      <c r="I90" s="4" t="inlineStr">
        <is>
          <t>Site Dream Cosmetics</t>
        </is>
      </c>
      <c r="J90" s="4" t="inlineStr"/>
    </row>
    <row r="91" ht="70" customHeight="1">
      <c r="A91" s="4" t="inlineStr">
        <is>
          <t>Day by Day</t>
        </is>
      </c>
      <c r="B91" s="4" t="inlineStr">
        <is>
          <t>Day by Day Baby</t>
        </is>
      </c>
      <c r="C91" s="4" t="inlineStr">
        <is>
          <t>Day by day baby crème hydratante visage et corps</t>
        </is>
      </c>
      <c r="D91" s="4" t="inlineStr">
        <is>
          <t>Bébé et enfant</t>
        </is>
      </c>
      <c r="E91" s="4" t="inlineStr">
        <is>
          <t>Crème</t>
        </is>
      </c>
      <c r="F91" s="5" t="inlineStr">
        <is>
          <t>à confirmer</t>
        </is>
      </c>
      <c r="G91" s="4">
        <f>IMAGE("https://raw.githubusercontent.com/leslita06/dreamcosmetics-maquette/main/photos/599.jpg")</f>
        <v/>
      </c>
      <c r="H91" s="4" t="inlineStr">
        <is>
          <t>http://dreamcosmetics.net/fr/product/b%C3%A9b%C3%A9-enfants/cr%C3%A8me/day-day-baby-cr%C3%A8me-hydratante-visage-et-corps</t>
        </is>
      </c>
      <c r="I91" s="4" t="inlineStr">
        <is>
          <t>Site Dream Cosmetics</t>
        </is>
      </c>
      <c r="J91" s="4" t="inlineStr"/>
    </row>
    <row r="92" ht="70" customHeight="1">
      <c r="A92" s="4" t="inlineStr">
        <is>
          <t>Day by Day</t>
        </is>
      </c>
      <c r="B92" s="4" t="inlineStr">
        <is>
          <t>Day by Day Baby</t>
        </is>
      </c>
      <c r="C92" s="4" t="inlineStr">
        <is>
          <t>Day by day baby Eau de Cologne</t>
        </is>
      </c>
      <c r="D92" s="4" t="inlineStr">
        <is>
          <t>Parfum</t>
        </is>
      </c>
      <c r="E92" s="4" t="inlineStr">
        <is>
          <t>Eau de parfum</t>
        </is>
      </c>
      <c r="F92" s="5" t="inlineStr">
        <is>
          <t>à confirmer</t>
        </is>
      </c>
      <c r="G92" s="4">
        <f>IMAGE("https://raw.githubusercontent.com/leslita06/dreamcosmetics-maquette/main/photos/547.jpg")</f>
        <v/>
      </c>
      <c r="H92" s="4" t="inlineStr">
        <is>
          <t>http://dreamcosmetics.net/fr/product/b%C3%A9b%C3%A9-enfants/eau-de-parfum/day-day-baby-eau-de-cologne</t>
        </is>
      </c>
      <c r="I92" s="4" t="inlineStr">
        <is>
          <t>Site Dream Cosmetics</t>
        </is>
      </c>
      <c r="J92" s="4" t="inlineStr"/>
    </row>
    <row r="93" ht="70" customHeight="1">
      <c r="A93" s="4" t="inlineStr">
        <is>
          <t>Day by Day</t>
        </is>
      </c>
      <c r="B93" s="4" t="inlineStr">
        <is>
          <t>Day by Day Baby</t>
        </is>
      </c>
      <c r="C93" s="4" t="inlineStr">
        <is>
          <t>Day by day baby gel lavant 2 en 1 corps &amp; cheveux</t>
        </is>
      </c>
      <c r="D93" s="4" t="inlineStr">
        <is>
          <t>Bébé et enfant</t>
        </is>
      </c>
      <c r="E93" s="4" t="inlineStr">
        <is>
          <t>Gel douche</t>
        </is>
      </c>
      <c r="F93" s="4" t="inlineStr">
        <is>
          <t>300 - 750 ml</t>
        </is>
      </c>
      <c r="G93" s="4">
        <f>IMAGE("https://raw.githubusercontent.com/leslita06/dreamcosmetics-maquette/main/photos/550.jpg")</f>
        <v/>
      </c>
      <c r="H93" s="4" t="inlineStr">
        <is>
          <t>http://dreamcosmetics.net/fr/product/b%C3%A9b%C3%A9-enfants/gel-douche/day-day-baby-gel-lavant-2-en-1-corps-cheveux</t>
        </is>
      </c>
      <c r="I93" s="4" t="inlineStr">
        <is>
          <t>Site Dream Cosmetics</t>
        </is>
      </c>
      <c r="J93" s="4" t="inlineStr"/>
    </row>
    <row r="94" ht="70" customHeight="1">
      <c r="A94" s="4" t="inlineStr">
        <is>
          <t>Day by Day</t>
        </is>
      </c>
      <c r="B94" s="4" t="inlineStr">
        <is>
          <t>Day by Day Baby</t>
        </is>
      </c>
      <c r="C94" s="4" t="inlineStr">
        <is>
          <t>Day by day baby lait hydratant huile d'amande douce &amp; huile de pépins de raisin</t>
        </is>
      </c>
      <c r="D94" s="4" t="inlineStr">
        <is>
          <t>Bébé et enfant</t>
        </is>
      </c>
      <c r="E94" s="4" t="inlineStr">
        <is>
          <t>Lait</t>
        </is>
      </c>
      <c r="F94" s="4" t="inlineStr">
        <is>
          <t>300 - 750 ml</t>
        </is>
      </c>
      <c r="G94" s="4">
        <f>IMAGE("https://raw.githubusercontent.com/leslita06/dreamcosmetics-maquette/main/photos/545.jpg")</f>
        <v/>
      </c>
      <c r="H94" s="4" t="inlineStr">
        <is>
          <t>http://dreamcosmetics.net/fr/product/b%C3%A9b%C3%A9-enfants/lait/day-day-baby-lait-hydratant-huile-damande-douce-huile-de-p%C3%A9pins-de-raisin</t>
        </is>
      </c>
      <c r="I94" s="4" t="inlineStr">
        <is>
          <t>Site Dream Cosmetics</t>
        </is>
      </c>
      <c r="J94" s="4" t="inlineStr"/>
    </row>
    <row r="95" ht="70" customHeight="1">
      <c r="A95" s="4" t="inlineStr">
        <is>
          <t>Day by Day</t>
        </is>
      </c>
      <c r="B95" s="4" t="inlineStr">
        <is>
          <t>Day by Day Baby</t>
        </is>
      </c>
      <c r="C95" s="4" t="inlineStr">
        <is>
          <t>Day by day baby pommade nourrissante</t>
        </is>
      </c>
      <c r="D95" s="4" t="inlineStr">
        <is>
          <t>Bébé et enfant</t>
        </is>
      </c>
      <c r="E95" s="4" t="inlineStr">
        <is>
          <t>Pommade</t>
        </is>
      </c>
      <c r="F95" s="4" t="inlineStr">
        <is>
          <t>300 - 750 ml</t>
        </is>
      </c>
      <c r="G95" s="4">
        <f>IMAGE("https://raw.githubusercontent.com/leslita06/dreamcosmetics-maquette/main/photos/600.jpg")</f>
        <v/>
      </c>
      <c r="H95" s="4" t="inlineStr">
        <is>
          <t>http://dreamcosmetics.net/fr/product/b%C3%A9b%C3%A9-enfants/pommade/day-day-baby-pommade-nourrissante</t>
        </is>
      </c>
      <c r="I95" s="4" t="inlineStr">
        <is>
          <t>Site Dream Cosmetics</t>
        </is>
      </c>
      <c r="J95" s="4" t="inlineStr"/>
    </row>
    <row r="96" ht="70" customHeight="1">
      <c r="A96" s="4" t="inlineStr">
        <is>
          <t>Day by Day</t>
        </is>
      </c>
      <c r="B96" s="4" t="inlineStr">
        <is>
          <t>Day by Day Baby</t>
        </is>
      </c>
      <c r="C96" s="4" t="inlineStr">
        <is>
          <t>Day by day baby savon extra doux huile d'amande douce</t>
        </is>
      </c>
      <c r="D96" s="4" t="inlineStr">
        <is>
          <t>Bébé et enfant</t>
        </is>
      </c>
      <c r="E96" s="4" t="inlineStr">
        <is>
          <t>Savon</t>
        </is>
      </c>
      <c r="F96" s="5" t="inlineStr">
        <is>
          <t>à confirmer</t>
        </is>
      </c>
      <c r="G96" s="4">
        <f>IMAGE("https://raw.githubusercontent.com/leslita06/dreamcosmetics-maquette/main/photos/551.jpg")</f>
        <v/>
      </c>
      <c r="H96" s="4" t="inlineStr">
        <is>
          <t>http://dreamcosmetics.net/fr/product/b%C3%A9b%C3%A9-enfants/savon/day-day-baby-savon-extra-doux-huile-damande-douce</t>
        </is>
      </c>
      <c r="I96" s="4" t="inlineStr">
        <is>
          <t>Site Dream Cosmetics</t>
        </is>
      </c>
      <c r="J96" s="4" t="inlineStr"/>
    </row>
    <row r="97" ht="70" customHeight="1">
      <c r="A97" s="4" t="inlineStr">
        <is>
          <t>Day by Day</t>
        </is>
      </c>
      <c r="B97" s="4" t="inlineStr">
        <is>
          <t>Day by Day Baby</t>
        </is>
      </c>
      <c r="C97" s="4" t="inlineStr">
        <is>
          <t>Day by day baby talc apaisant &amp; protecteur</t>
        </is>
      </c>
      <c r="D97" s="4" t="inlineStr">
        <is>
          <t>Bébé et enfant</t>
        </is>
      </c>
      <c r="E97" s="4" t="inlineStr">
        <is>
          <t>Talc</t>
        </is>
      </c>
      <c r="F97" s="5" t="inlineStr">
        <is>
          <t>à confirmer</t>
        </is>
      </c>
      <c r="G97" s="4">
        <f>IMAGE("https://raw.githubusercontent.com/leslita06/dreamcosmetics-maquette/main/photos/549.jpg")</f>
        <v/>
      </c>
      <c r="H97" s="4" t="inlineStr">
        <is>
          <t>http://dreamcosmetics.net/fr/product/b%C3%A9b%C3%A9-enfants/talc/day-day-baby-talc-apaisant-protecteur</t>
        </is>
      </c>
      <c r="I97" s="4" t="inlineStr">
        <is>
          <t>Site Dream Cosmetics</t>
        </is>
      </c>
      <c r="J97" s="4" t="inlineStr"/>
    </row>
    <row r="98" ht="70" customHeight="1">
      <c r="A98" s="4" t="inlineStr">
        <is>
          <t>Day by Day</t>
        </is>
      </c>
      <c r="B98" s="4" t="inlineStr">
        <is>
          <t>Day by Day Kids</t>
        </is>
      </c>
      <c r="C98" s="4" t="inlineStr">
        <is>
          <t>Day by day kids crème hydratante</t>
        </is>
      </c>
      <c r="D98" s="4" t="inlineStr">
        <is>
          <t>Bébé et enfant</t>
        </is>
      </c>
      <c r="E98" s="4" t="inlineStr">
        <is>
          <t>Crème</t>
        </is>
      </c>
      <c r="F98" s="4" t="inlineStr">
        <is>
          <t>300 - 750 ml</t>
        </is>
      </c>
      <c r="G98" s="4">
        <f>IMAGE("https://raw.githubusercontent.com/leslita06/dreamcosmetics-maquette/main/photos/601.jpg")</f>
        <v/>
      </c>
      <c r="H98" s="4" t="inlineStr">
        <is>
          <t>http://dreamcosmetics.net/fr/product/b%C3%A9b%C3%A9-enfants/cr%C3%A8me/day-day-kids-cr%C3%A8me-hydratante</t>
        </is>
      </c>
      <c r="I98" s="4" t="inlineStr">
        <is>
          <t>Site Dream Cosmetics</t>
        </is>
      </c>
      <c r="J98" s="4" t="inlineStr"/>
    </row>
    <row r="99" ht="70" customHeight="1">
      <c r="A99" s="4" t="inlineStr">
        <is>
          <t>Day by Day</t>
        </is>
      </c>
      <c r="B99" s="4" t="inlineStr">
        <is>
          <t>Day by Day Kids</t>
        </is>
      </c>
      <c r="C99" s="4" t="inlineStr">
        <is>
          <t>Day by day kids eau de cologne</t>
        </is>
      </c>
      <c r="D99" s="4" t="inlineStr">
        <is>
          <t>Parfum</t>
        </is>
      </c>
      <c r="E99" s="4" t="inlineStr">
        <is>
          <t>Eau de cologne</t>
        </is>
      </c>
      <c r="F99" s="4" t="inlineStr">
        <is>
          <t>150 - 300 - 750 ml</t>
        </is>
      </c>
      <c r="G99" s="4">
        <f>IMAGE("https://raw.githubusercontent.com/leslita06/dreamcosmetics-maquette/main/photos/554.jpg")</f>
        <v/>
      </c>
      <c r="H99" s="4" t="inlineStr">
        <is>
          <t>http://dreamcosmetics.net/fr/product/b%C3%A9b%C3%A9-enfants/eau-de-cologne/day-day-kids-eau-de-cologne</t>
        </is>
      </c>
      <c r="I99" s="4" t="inlineStr">
        <is>
          <t>Site Dream Cosmetics</t>
        </is>
      </c>
      <c r="J99" s="4" t="inlineStr"/>
    </row>
    <row r="100" ht="70" customHeight="1">
      <c r="A100" s="4" t="inlineStr">
        <is>
          <t>Day by Day</t>
        </is>
      </c>
      <c r="B100" s="4" t="inlineStr">
        <is>
          <t>Day by Day Kids</t>
        </is>
      </c>
      <c r="C100" s="4" t="inlineStr">
        <is>
          <t>Day by day kids gel lavant 2 en 1 corps &amp; cheveux</t>
        </is>
      </c>
      <c r="D100" s="4" t="inlineStr">
        <is>
          <t>Bébé et enfant</t>
        </is>
      </c>
      <c r="E100" s="4" t="inlineStr">
        <is>
          <t>Lingette</t>
        </is>
      </c>
      <c r="F100" s="4" t="inlineStr">
        <is>
          <t>300 - 750 ml</t>
        </is>
      </c>
      <c r="G100" s="4">
        <f>IMAGE("https://raw.githubusercontent.com/leslita06/dreamcosmetics-maquette/main/photos/557.jpg")</f>
        <v/>
      </c>
      <c r="H100" s="4" t="inlineStr">
        <is>
          <t>http://dreamcosmetics.net/fr/product/b%C3%A9b%C3%A9-enfants/lingette/day-day-kids-gel-lavant-2-en-1-corps-cheveux</t>
        </is>
      </c>
      <c r="I100" s="4" t="inlineStr">
        <is>
          <t>Site Dream Cosmetics</t>
        </is>
      </c>
      <c r="J100" s="4" t="inlineStr"/>
    </row>
    <row r="101" ht="70" customHeight="1">
      <c r="A101" s="4" t="inlineStr">
        <is>
          <t>Day by Day</t>
        </is>
      </c>
      <c r="B101" s="4" t="inlineStr">
        <is>
          <t>Day by Day Kids</t>
        </is>
      </c>
      <c r="C101" s="4" t="inlineStr">
        <is>
          <t>Day by day kids lait hydratant avocat &amp; provitamine B5</t>
        </is>
      </c>
      <c r="D101" s="4" t="inlineStr">
        <is>
          <t>Bébé et enfant</t>
        </is>
      </c>
      <c r="E101" s="4" t="inlineStr">
        <is>
          <t>Lait</t>
        </is>
      </c>
      <c r="F101" s="4" t="inlineStr">
        <is>
          <t>300 - 750 ml</t>
        </is>
      </c>
      <c r="G101" s="4">
        <f>IMAGE("https://raw.githubusercontent.com/leslita06/dreamcosmetics-maquette/main/photos/552.jpg")</f>
        <v/>
      </c>
      <c r="H101" s="4" t="inlineStr">
        <is>
          <t>http://dreamcosmetics.net/fr/product/b%C3%A9b%C3%A9-enfants/lait/day-day-kids-lait-hydratant-avocat-provitamine-b5</t>
        </is>
      </c>
      <c r="I101" s="4" t="inlineStr">
        <is>
          <t>Site Dream Cosmetics</t>
        </is>
      </c>
      <c r="J101" s="4" t="inlineStr"/>
    </row>
    <row r="102" ht="70" customHeight="1">
      <c r="A102" s="4" t="inlineStr">
        <is>
          <t>Day by Day</t>
        </is>
      </c>
      <c r="B102" s="4" t="inlineStr">
        <is>
          <t>Day by Day Kids</t>
        </is>
      </c>
      <c r="C102" s="4" t="inlineStr">
        <is>
          <t>Day by day kids pommade nourrissante</t>
        </is>
      </c>
      <c r="D102" s="4" t="inlineStr">
        <is>
          <t>Bébé et enfant</t>
        </is>
      </c>
      <c r="E102" s="4" t="inlineStr">
        <is>
          <t>Crème</t>
        </is>
      </c>
      <c r="F102" s="4" t="inlineStr">
        <is>
          <t>300 - 750 ml</t>
        </is>
      </c>
      <c r="G102" s="4">
        <f>IMAGE("https://raw.githubusercontent.com/leslita06/dreamcosmetics-maquette/main/photos/602.jpg")</f>
        <v/>
      </c>
      <c r="H102" s="4" t="inlineStr">
        <is>
          <t>http://dreamcosmetics.net/fr/product/b%C3%A9b%C3%A9-enfants/cr%C3%A8me/day-day-kids-pommade-nourrissante</t>
        </is>
      </c>
      <c r="I102" s="4" t="inlineStr">
        <is>
          <t>Site Dream Cosmetics</t>
        </is>
      </c>
      <c r="J102" s="4" t="inlineStr"/>
    </row>
    <row r="103" ht="70" customHeight="1">
      <c r="A103" s="4" t="inlineStr">
        <is>
          <t>Day by Day</t>
        </is>
      </c>
      <c r="B103" s="4" t="inlineStr">
        <is>
          <t>Day by Day Kids</t>
        </is>
      </c>
      <c r="C103" s="4" t="inlineStr">
        <is>
          <t>Day by day kids savon extra doux beurre d'avocat</t>
        </is>
      </c>
      <c r="D103" s="4" t="inlineStr">
        <is>
          <t>Bébé et enfant</t>
        </is>
      </c>
      <c r="E103" s="4" t="inlineStr">
        <is>
          <t>Savon</t>
        </is>
      </c>
      <c r="F103" s="5" t="inlineStr">
        <is>
          <t>à confirmer</t>
        </is>
      </c>
      <c r="G103" s="4">
        <f>IMAGE("https://raw.githubusercontent.com/leslita06/dreamcosmetics-maquette/main/photos/558.jpg")</f>
        <v/>
      </c>
      <c r="H103" s="4" t="inlineStr">
        <is>
          <t>http://dreamcosmetics.net/fr/product/b%C3%A9b%C3%A9-enfants/savon/day-day-kids-savon-extra-doux-beurre-davocat</t>
        </is>
      </c>
      <c r="I103" s="4" t="inlineStr">
        <is>
          <t>Site Dream Cosmetics</t>
        </is>
      </c>
      <c r="J103" s="4" t="inlineStr"/>
    </row>
    <row r="104" ht="70" customHeight="1">
      <c r="A104" s="4" t="inlineStr">
        <is>
          <t>Day by Day</t>
        </is>
      </c>
      <c r="B104" s="4" t="inlineStr">
        <is>
          <t>Day by Day Kids</t>
        </is>
      </c>
      <c r="C104" s="4" t="inlineStr">
        <is>
          <t>Day by day kids talc apaisant &amp; protecteur</t>
        </is>
      </c>
      <c r="D104" s="4" t="inlineStr">
        <is>
          <t>Bébé et enfant</t>
        </is>
      </c>
      <c r="E104" s="4" t="inlineStr">
        <is>
          <t>Talc</t>
        </is>
      </c>
      <c r="F104" s="4" t="inlineStr">
        <is>
          <t>100 - 300 - 600 ml</t>
        </is>
      </c>
      <c r="G104" s="4">
        <f>IMAGE("https://raw.githubusercontent.com/leslita06/dreamcosmetics-maquette/main/photos/556.jpg")</f>
        <v/>
      </c>
      <c r="H104" s="4" t="inlineStr">
        <is>
          <t>http://dreamcosmetics.net/fr/product/b%C3%A9b%C3%A9-enfants/talc/day-day-kids-talc-apaisant-protecteur</t>
        </is>
      </c>
      <c r="I104" s="4" t="inlineStr">
        <is>
          <t>Site Dream Cosmetics</t>
        </is>
      </c>
      <c r="J104" s="4" t="inlineStr"/>
    </row>
    <row r="105" ht="70" customHeight="1">
      <c r="A105" s="4" t="inlineStr">
        <is>
          <t>Day by Day</t>
        </is>
      </c>
      <c r="B105" s="4" t="inlineStr">
        <is>
          <t>Day by day lip butter</t>
        </is>
      </c>
      <c r="C105" s="4" t="inlineStr">
        <is>
          <t>DBD beurre lèvres coco &amp; argan</t>
        </is>
      </c>
      <c r="D105" s="4" t="inlineStr">
        <is>
          <t>Soin spécifique</t>
        </is>
      </c>
      <c r="E105" s="4" t="inlineStr">
        <is>
          <t>Crème</t>
        </is>
      </c>
      <c r="F105" s="4" t="inlineStr">
        <is>
          <t>10 gr</t>
        </is>
      </c>
      <c r="G105" s="4">
        <f>IMAGE("https://raw.githubusercontent.com/leslita06/dreamcosmetics-maquette/main/photos/333.jpg")</f>
        <v/>
      </c>
      <c r="H105" s="4" t="inlineStr">
        <is>
          <t>http://dreamcosmetics.net/fr/product/soins-sp%C3%A9cifiques/cr%C3%A8me/dbd-beurre-l%C3%A8vres-coco-argan</t>
        </is>
      </c>
      <c r="I105" s="4" t="inlineStr">
        <is>
          <t>Site Dream Cosmetics</t>
        </is>
      </c>
      <c r="J105" s="4" t="inlineStr"/>
    </row>
    <row r="106" ht="70" customHeight="1">
      <c r="A106" s="4" t="inlineStr">
        <is>
          <t>Day by Day</t>
        </is>
      </c>
      <c r="B106" s="4" t="inlineStr">
        <is>
          <t>Day by day lip butter</t>
        </is>
      </c>
      <c r="C106" s="4" t="inlineStr">
        <is>
          <t>DBD beurre lèvres fruits rouges</t>
        </is>
      </c>
      <c r="D106" s="4" t="inlineStr">
        <is>
          <t>Soin spécifique</t>
        </is>
      </c>
      <c r="E106" s="4" t="inlineStr">
        <is>
          <t>Crème</t>
        </is>
      </c>
      <c r="F106" s="4" t="inlineStr">
        <is>
          <t>10 gr</t>
        </is>
      </c>
      <c r="G106" s="4">
        <f>IMAGE("https://raw.githubusercontent.com/leslita06/dreamcosmetics-maquette/main/photos/334.jpg")</f>
        <v/>
      </c>
      <c r="H106" s="4" t="inlineStr">
        <is>
          <t>http://dreamcosmetics.net/fr/product/soins-sp%C3%A9cifiques/cr%C3%A8me/dbd-beurre-l%C3%A8vres-fruits-rouges</t>
        </is>
      </c>
      <c r="I106" s="4" t="inlineStr">
        <is>
          <t>Site Dream Cosmetics</t>
        </is>
      </c>
      <c r="J106" s="4" t="inlineStr"/>
    </row>
    <row r="107" ht="70" customHeight="1">
      <c r="A107" s="4" t="inlineStr">
        <is>
          <t>Day by Day</t>
        </is>
      </c>
      <c r="B107" s="4" t="inlineStr">
        <is>
          <t>Day by day lip butter</t>
        </is>
      </c>
      <c r="C107" s="4" t="inlineStr">
        <is>
          <t>DBD Beurre lèvres pour homme</t>
        </is>
      </c>
      <c r="D107" s="4" t="inlineStr">
        <is>
          <t>Soin spécifique</t>
        </is>
      </c>
      <c r="E107" s="4" t="inlineStr">
        <is>
          <t>Crème</t>
        </is>
      </c>
      <c r="F107" s="5" t="inlineStr">
        <is>
          <t>à confirmer</t>
        </is>
      </c>
      <c r="G107" s="4">
        <f>IMAGE("https://raw.githubusercontent.com/leslita06/dreamcosmetics-maquette/main/photos/331.jpg")</f>
        <v/>
      </c>
      <c r="H107" s="4" t="inlineStr">
        <is>
          <t>http://dreamcosmetics.net/fr/product/soins-sp%C3%A9cifiques/cr%C3%A8me/dbd-beurre-l%C3%A8vres-pour-homme</t>
        </is>
      </c>
      <c r="I107" s="4" t="inlineStr">
        <is>
          <t>Site Dream Cosmetics</t>
        </is>
      </c>
      <c r="J107" s="4" t="inlineStr"/>
    </row>
    <row r="108" ht="70" customHeight="1">
      <c r="A108" s="4" t="inlineStr">
        <is>
          <t>Day by Day</t>
        </is>
      </c>
      <c r="B108" s="4" t="inlineStr">
        <is>
          <t>Day by day lip butter</t>
        </is>
      </c>
      <c r="C108" s="4" t="inlineStr">
        <is>
          <t>DBD lip butter care &amp; repair</t>
        </is>
      </c>
      <c r="D108" s="4" t="inlineStr">
        <is>
          <t>Soin spécifique</t>
        </is>
      </c>
      <c r="E108" s="4" t="inlineStr">
        <is>
          <t>Crème</t>
        </is>
      </c>
      <c r="F108" s="5" t="inlineStr">
        <is>
          <t>à confirmer</t>
        </is>
      </c>
      <c r="G108" s="4">
        <f>IMAGE("https://raw.githubusercontent.com/leslita06/dreamcosmetics-maquette/main/photos/332.jpg")</f>
        <v/>
      </c>
      <c r="H108" s="4" t="inlineStr">
        <is>
          <t>http://dreamcosmetics.net/fr/product/soins-sp%C3%A9cifiques/cr%C3%A8me/dbd-lip-butter-care-repair</t>
        </is>
      </c>
      <c r="I108" s="4" t="inlineStr">
        <is>
          <t>Site Dream Cosmetics</t>
        </is>
      </c>
      <c r="J108" s="4" t="inlineStr"/>
    </row>
    <row r="109" ht="70" customHeight="1">
      <c r="A109" s="4" t="inlineStr">
        <is>
          <t>Day by Day</t>
        </is>
      </c>
      <c r="B109" s="4" t="inlineStr">
        <is>
          <t>Day by day protect</t>
        </is>
      </c>
      <c r="C109" s="4" t="inlineStr">
        <is>
          <t>DBD Lait anti-moustiques protect family</t>
        </is>
      </c>
      <c r="D109" s="4" t="inlineStr">
        <is>
          <t>Soin spécifique</t>
        </is>
      </c>
      <c r="E109" s="4" t="inlineStr">
        <is>
          <t>Lait</t>
        </is>
      </c>
      <c r="F109" s="4" t="inlineStr">
        <is>
          <t>100 - 200 ml</t>
        </is>
      </c>
      <c r="G109" s="4">
        <f>IMAGE("https://raw.githubusercontent.com/leslita06/dreamcosmetics-maquette/main/photos/336.jpg")</f>
        <v/>
      </c>
      <c r="H109" s="4" t="inlineStr">
        <is>
          <t>http://dreamcosmetics.net/fr/product/soins-sp%C3%A9cifiques/lait/dbd-lait-anti-moustiques-protect-family</t>
        </is>
      </c>
      <c r="I109" s="4" t="inlineStr">
        <is>
          <t>Site Dream Cosmetics</t>
        </is>
      </c>
      <c r="J109" s="4" t="inlineStr"/>
    </row>
    <row r="110" ht="70" customHeight="1">
      <c r="A110" s="4" t="inlineStr">
        <is>
          <t>Day by Day</t>
        </is>
      </c>
      <c r="B110" s="4" t="inlineStr">
        <is>
          <t>Day by day protect</t>
        </is>
      </c>
      <c r="C110" s="4" t="inlineStr">
        <is>
          <t>DBD Lait anti-moustiques protect kids</t>
        </is>
      </c>
      <c r="D110" s="4" t="inlineStr">
        <is>
          <t>Soin spécifique</t>
        </is>
      </c>
      <c r="E110" s="4" t="inlineStr">
        <is>
          <t>Lait</t>
        </is>
      </c>
      <c r="F110" s="5" t="inlineStr">
        <is>
          <t>à confirmer</t>
        </is>
      </c>
      <c r="G110" s="4">
        <f>IMAGE("https://raw.githubusercontent.com/leslita06/dreamcosmetics-maquette/main/photos/337.jpg")</f>
        <v/>
      </c>
      <c r="H110" s="4" t="inlineStr">
        <is>
          <t>http://dreamcosmetics.net/fr/product/soins-sp%C3%A9cifiques/lait/dbd-lait-anti-moustiques-protect-kids</t>
        </is>
      </c>
      <c r="I110" s="4" t="inlineStr">
        <is>
          <t>Site Dream Cosmetics</t>
        </is>
      </c>
      <c r="J110" s="4" t="inlineStr"/>
    </row>
    <row r="111" ht="70" customHeight="1">
      <c r="A111" s="4" t="inlineStr">
        <is>
          <t>Day by Day</t>
        </is>
      </c>
      <c r="B111" s="4" t="inlineStr">
        <is>
          <t>Day by day protect</t>
        </is>
      </c>
      <c r="C111" s="4" t="inlineStr">
        <is>
          <t>DBD Spray anti-moustiques protect family</t>
        </is>
      </c>
      <c r="D111" s="4" t="inlineStr">
        <is>
          <t>Soin spécifique</t>
        </is>
      </c>
      <c r="E111" s="4" t="inlineStr">
        <is>
          <t>Lotion</t>
        </is>
      </c>
      <c r="F111" s="5" t="inlineStr">
        <is>
          <t>à confirmer</t>
        </is>
      </c>
      <c r="G111" s="4">
        <f>IMAGE("https://raw.githubusercontent.com/leslita06/dreamcosmetics-maquette/main/photos/338.jpg")</f>
        <v/>
      </c>
      <c r="H111" s="4" t="inlineStr">
        <is>
          <t>http://dreamcosmetics.net/fr/product/soins-sp%C3%A9cifiques/lotion/dbd-spray-anti-moustiques-protect-family</t>
        </is>
      </c>
      <c r="I111" s="4" t="inlineStr">
        <is>
          <t>Site Dream Cosmetics</t>
        </is>
      </c>
      <c r="J111" s="4" t="inlineStr"/>
    </row>
    <row r="112" ht="70" customHeight="1">
      <c r="A112" s="4" t="inlineStr">
        <is>
          <t>Day by Day</t>
        </is>
      </c>
      <c r="B112" s="4" t="inlineStr">
        <is>
          <t>Day by day protect</t>
        </is>
      </c>
      <c r="C112" s="4" t="inlineStr">
        <is>
          <t>DBD Spray anti-moustiques protect kids</t>
        </is>
      </c>
      <c r="D112" s="4" t="inlineStr">
        <is>
          <t>Soin spécifique</t>
        </is>
      </c>
      <c r="E112" s="4" t="inlineStr">
        <is>
          <t>Lotion</t>
        </is>
      </c>
      <c r="F112" s="5" t="inlineStr">
        <is>
          <t>à confirmer</t>
        </is>
      </c>
      <c r="G112" s="4">
        <f>IMAGE("https://raw.githubusercontent.com/leslita06/dreamcosmetics-maquette/main/photos/339.jpg")</f>
        <v/>
      </c>
      <c r="H112" s="4" t="inlineStr">
        <is>
          <t>http://dreamcosmetics.net/fr/product/soins-sp%C3%A9cifiques/lotion/dbd-spray-anti-moustiques-protect-kids</t>
        </is>
      </c>
      <c r="I112" s="4" t="inlineStr">
        <is>
          <t>Site Dream Cosmetics</t>
        </is>
      </c>
      <c r="J112" s="4" t="inlineStr"/>
    </row>
    <row r="113" ht="70" customHeight="1">
      <c r="A113" s="4" t="inlineStr">
        <is>
          <t>Day by Day</t>
        </is>
      </c>
      <c r="B113" s="4" t="inlineStr">
        <is>
          <t>Day by day soin mains</t>
        </is>
      </c>
      <c r="C113" s="4" t="inlineStr">
        <is>
          <t>DBD Crème mains douceur amande douce</t>
        </is>
      </c>
      <c r="D113" s="4" t="inlineStr">
        <is>
          <t>Soin spécifique</t>
        </is>
      </c>
      <c r="E113" s="4" t="inlineStr">
        <is>
          <t>Crème</t>
        </is>
      </c>
      <c r="F113" s="4" t="inlineStr">
        <is>
          <t>75 ml</t>
        </is>
      </c>
      <c r="G113" s="4">
        <f>IMAGE("https://raw.githubusercontent.com/leslita06/dreamcosmetics-maquette/main/photos/327.jpg")</f>
        <v/>
      </c>
      <c r="H113" s="4" t="inlineStr">
        <is>
          <t>http://dreamcosmetics.net/fr/product/soins-sp%C3%A9cifiques/cr%C3%A8me/dbd-cr%C3%A8me-mains-douceur-amande-douce</t>
        </is>
      </c>
      <c r="I113" s="4" t="inlineStr">
        <is>
          <t>Site Dream Cosmetics</t>
        </is>
      </c>
      <c r="J113" s="4" t="inlineStr"/>
    </row>
    <row r="114" ht="70" customHeight="1">
      <c r="A114" s="4" t="inlineStr">
        <is>
          <t>Day by Day</t>
        </is>
      </c>
      <c r="B114" s="4" t="inlineStr">
        <is>
          <t>Day by day soin mains</t>
        </is>
      </c>
      <c r="C114" s="4" t="inlineStr">
        <is>
          <t>DBD Crème mains karité</t>
        </is>
      </c>
      <c r="D114" s="4" t="inlineStr">
        <is>
          <t>Soin spécifique</t>
        </is>
      </c>
      <c r="E114" s="4" t="inlineStr">
        <is>
          <t>Crème</t>
        </is>
      </c>
      <c r="F114" s="4" t="inlineStr">
        <is>
          <t>75 ml</t>
        </is>
      </c>
      <c r="G114" s="4">
        <f>IMAGE("https://raw.githubusercontent.com/leslita06/dreamcosmetics-maquette/main/photos/328.jpg")</f>
        <v/>
      </c>
      <c r="H114" s="4" t="inlineStr">
        <is>
          <t>http://dreamcosmetics.net/fr/product/soins-sp%C3%A9cifiques/cr%C3%A8me/dbd-cr%C3%A8me-mains-karit%C3%A9</t>
        </is>
      </c>
      <c r="I114" s="4" t="inlineStr">
        <is>
          <t>Site Dream Cosmetics</t>
        </is>
      </c>
      <c r="J114" s="4" t="inlineStr"/>
    </row>
    <row r="115" ht="70" customHeight="1">
      <c r="A115" s="4" t="inlineStr">
        <is>
          <t>Day by Day</t>
        </is>
      </c>
      <c r="B115" s="4" t="inlineStr">
        <is>
          <t>Day by day soin mains</t>
        </is>
      </c>
      <c r="C115" s="4" t="inlineStr">
        <is>
          <t>DBD Crème mains SOS repair</t>
        </is>
      </c>
      <c r="D115" s="4" t="inlineStr">
        <is>
          <t>Soin spécifique</t>
        </is>
      </c>
      <c r="E115" s="4" t="inlineStr">
        <is>
          <t>Crème</t>
        </is>
      </c>
      <c r="F115" s="4" t="inlineStr">
        <is>
          <t>75 ml</t>
        </is>
      </c>
      <c r="G115" s="4">
        <f>IMAGE("https://raw.githubusercontent.com/leslita06/dreamcosmetics-maquette/main/photos/329.jpg")</f>
        <v/>
      </c>
      <c r="H115" s="4" t="inlineStr">
        <is>
          <t>http://dreamcosmetics.net/fr/product/soins-sp%C3%A9cifiques/cr%C3%A8me/dbd-cr%C3%A8me-mains-sos-repair</t>
        </is>
      </c>
      <c r="I115" s="4" t="inlineStr">
        <is>
          <t>Site Dream Cosmetics</t>
        </is>
      </c>
      <c r="J115" s="4" t="inlineStr"/>
    </row>
    <row r="116" ht="70" customHeight="1">
      <c r="A116" s="4" t="inlineStr">
        <is>
          <t>Paw Paw</t>
        </is>
      </c>
      <c r="B116" s="4" t="inlineStr"/>
      <c r="C116" s="4" t="inlineStr">
        <is>
          <t>PAW PAW crème clarifiante extraits de papaye</t>
        </is>
      </c>
      <c r="D116" s="4" t="inlineStr">
        <is>
          <t>Visage et corps</t>
        </is>
      </c>
      <c r="E116" s="4" t="inlineStr">
        <is>
          <t>Crème</t>
        </is>
      </c>
      <c r="F116" s="4" t="inlineStr">
        <is>
          <t>120 - 300 ml</t>
        </is>
      </c>
      <c r="G116" s="4">
        <f>IMAGE("https://raw.githubusercontent.com/leslita06/dreamcosmetics-maquette/main/photos/428.jpg")</f>
        <v/>
      </c>
      <c r="H116" s="4" t="inlineStr">
        <is>
          <t>http://dreamcosmetics.net/fr/product/visage-et-corps/cr%C3%A8me/paw-paw-cr%C3%A8me-clarifiante-extraits-de-papaye</t>
        </is>
      </c>
      <c r="I116" s="4" t="inlineStr">
        <is>
          <t>Site Dream Cosmetics</t>
        </is>
      </c>
      <c r="J116" s="4" t="inlineStr"/>
    </row>
    <row r="117" ht="70" customHeight="1">
      <c r="A117" s="4" t="inlineStr">
        <is>
          <t>Paw Paw</t>
        </is>
      </c>
      <c r="B117" s="4" t="inlineStr"/>
      <c r="C117" s="4" t="inlineStr">
        <is>
          <t>PAW PAW crème clarifiante intense extraits de papaye</t>
        </is>
      </c>
      <c r="D117" s="4" t="inlineStr">
        <is>
          <t>Visage et corps</t>
        </is>
      </c>
      <c r="E117" s="4" t="inlineStr">
        <is>
          <t>Crème</t>
        </is>
      </c>
      <c r="F117" s="4" t="inlineStr">
        <is>
          <t>25 ml</t>
        </is>
      </c>
      <c r="G117" s="4">
        <f>IMAGE("https://raw.githubusercontent.com/leslita06/dreamcosmetics-maquette/main/photos/434.jpg")</f>
        <v/>
      </c>
      <c r="H117" s="4" t="inlineStr">
        <is>
          <t>http://dreamcosmetics.net/fr/product/visage-et-corps/cr%C3%A8me/paw-paw-cr%C3%A8me-clarifiante-intense-extraits-de-papaye</t>
        </is>
      </c>
      <c r="I117" s="4" t="inlineStr">
        <is>
          <t>Site Dream Cosmetics</t>
        </is>
      </c>
      <c r="J117" s="4" t="inlineStr"/>
    </row>
    <row r="118" ht="70" customHeight="1">
      <c r="A118" s="4" t="inlineStr">
        <is>
          <t>Paw Paw</t>
        </is>
      </c>
      <c r="B118" s="4" t="inlineStr"/>
      <c r="C118" s="4" t="inlineStr">
        <is>
          <t>PAW PAW Dark spot remover - extraits de papaye</t>
        </is>
      </c>
      <c r="D118" s="4" t="inlineStr">
        <is>
          <t>Visage et corps</t>
        </is>
      </c>
      <c r="E118" s="4" t="inlineStr">
        <is>
          <t>Dark spot remover</t>
        </is>
      </c>
      <c r="F118" s="4" t="inlineStr">
        <is>
          <t>25 ml</t>
        </is>
      </c>
      <c r="G118" s="4">
        <f>IMAGE("https://raw.githubusercontent.com/leslita06/dreamcosmetics-maquette/main/photos/433.jpg")</f>
        <v/>
      </c>
      <c r="H118" s="4" t="inlineStr">
        <is>
          <t>http://dreamcosmetics.net/fr/product/visage-et-corps/dark-spot-remover/paw-paw-dark-spot-remover-extraits-de-papaye</t>
        </is>
      </c>
      <c r="I118" s="4" t="inlineStr">
        <is>
          <t>Site Dream Cosmetics</t>
        </is>
      </c>
      <c r="J118" s="4" t="inlineStr"/>
    </row>
    <row r="119" ht="70" customHeight="1">
      <c r="A119" s="4" t="inlineStr">
        <is>
          <t>Paw Paw</t>
        </is>
      </c>
      <c r="B119" s="4" t="inlineStr"/>
      <c r="C119" s="4" t="inlineStr">
        <is>
          <t>PAW PAW gel douche clarifiant - gommant papaye &amp; poudre de noyau d'abricot</t>
        </is>
      </c>
      <c r="D119" s="4" t="inlineStr">
        <is>
          <t>Corps (douche)</t>
        </is>
      </c>
      <c r="E119" s="4" t="inlineStr">
        <is>
          <t>Gel douche</t>
        </is>
      </c>
      <c r="F119" s="4" t="inlineStr">
        <is>
          <t>500 ml</t>
        </is>
      </c>
      <c r="G119" s="4">
        <f>IMAGE("https://raw.githubusercontent.com/leslita06/dreamcosmetics-maquette/main/photos/431.jpg")</f>
        <v/>
      </c>
      <c r="H119" s="4" t="inlineStr">
        <is>
          <t>http://dreamcosmetics.net/fr/product/visage-et-corps/gel-douche/paw-paw-gel-douche-clarifiant-gommant-papaye-poudre-de-noyau</t>
        </is>
      </c>
      <c r="I119" s="4" t="inlineStr">
        <is>
          <t>Site Dream Cosmetics</t>
        </is>
      </c>
      <c r="J119" s="4" t="inlineStr"/>
    </row>
    <row r="120" ht="70" customHeight="1">
      <c r="A120" s="4" t="inlineStr">
        <is>
          <t>Paw Paw</t>
        </is>
      </c>
      <c r="B120" s="4" t="inlineStr"/>
      <c r="C120" s="4" t="inlineStr">
        <is>
          <t>PAW PAW gel douche clarifiant extraits de papaye</t>
        </is>
      </c>
      <c r="D120" s="4" t="inlineStr">
        <is>
          <t>Corps (douche)</t>
        </is>
      </c>
      <c r="E120" s="4" t="inlineStr">
        <is>
          <t>Gel douche</t>
        </is>
      </c>
      <c r="F120" s="4" t="inlineStr">
        <is>
          <t>180 g</t>
        </is>
      </c>
      <c r="G120" s="4">
        <f>IMAGE("https://raw.githubusercontent.com/leslita06/dreamcosmetics-maquette/main/photos/430.jpg")</f>
        <v/>
      </c>
      <c r="H120" s="4" t="inlineStr">
        <is>
          <t>http://dreamcosmetics.net/fr/product/visage-et-corps/gel-douche/paw-paw-gel-douche-clarifiant-extraits-de-papaye</t>
        </is>
      </c>
      <c r="I120" s="4" t="inlineStr">
        <is>
          <t>Site Dream Cosmetics</t>
        </is>
      </c>
      <c r="J120" s="4" t="inlineStr"/>
    </row>
    <row r="121" ht="70" customHeight="1">
      <c r="A121" s="4" t="inlineStr">
        <is>
          <t>Paw Paw</t>
        </is>
      </c>
      <c r="B121" s="4" t="inlineStr"/>
      <c r="C121" s="4" t="inlineStr">
        <is>
          <t>PAW PAW Huile clarifiante extraits de papaye</t>
        </is>
      </c>
      <c r="D121" s="4" t="inlineStr">
        <is>
          <t>Visage et corps</t>
        </is>
      </c>
      <c r="E121" s="4" t="inlineStr">
        <is>
          <t>Huile</t>
        </is>
      </c>
      <c r="F121" s="4" t="inlineStr">
        <is>
          <t>50 ml</t>
        </is>
      </c>
      <c r="G121" s="4">
        <f>IMAGE("https://raw.githubusercontent.com/leslita06/dreamcosmetics-maquette/main/photos/432.jpg")</f>
        <v/>
      </c>
      <c r="H121" s="4" t="inlineStr">
        <is>
          <t>http://dreamcosmetics.net/fr/product/visage-et-corps/huile/paw-paw-huile-clarifiante-extraits-de-papaye</t>
        </is>
      </c>
      <c r="I121" s="4" t="inlineStr">
        <is>
          <t>Site Dream Cosmetics</t>
        </is>
      </c>
      <c r="J121" s="4" t="inlineStr"/>
    </row>
    <row r="122" ht="70" customHeight="1">
      <c r="A122" s="4" t="inlineStr">
        <is>
          <t>Paw Paw</t>
        </is>
      </c>
      <c r="B122" s="4" t="inlineStr"/>
      <c r="C122" s="4" t="inlineStr">
        <is>
          <t>PAW PAW Lait clarifiant extraits de papaye</t>
        </is>
      </c>
      <c r="D122" s="4" t="inlineStr">
        <is>
          <t>Visage et corps</t>
        </is>
      </c>
      <c r="E122" s="4" t="inlineStr">
        <is>
          <t>Lait</t>
        </is>
      </c>
      <c r="F122" s="4" t="inlineStr">
        <is>
          <t>300 - 500 ml</t>
        </is>
      </c>
      <c r="G122" s="4">
        <f>IMAGE("https://raw.githubusercontent.com/leslita06/dreamcosmetics-maquette/main/photos/427.jpg")</f>
        <v/>
      </c>
      <c r="H122" s="4" t="inlineStr">
        <is>
          <t>http://dreamcosmetics.net/fr/product/visage-et-corps/lait/paw-paw-lait-clarifiant-extraits-de-papaye</t>
        </is>
      </c>
      <c r="I122" s="4" t="inlineStr">
        <is>
          <t>Site Dream Cosmetics</t>
        </is>
      </c>
      <c r="J122" s="4" t="inlineStr"/>
    </row>
    <row r="123" ht="70" customHeight="1">
      <c r="A123" s="4" t="inlineStr">
        <is>
          <t>Paw Paw</t>
        </is>
      </c>
      <c r="B123" s="4" t="inlineStr"/>
      <c r="C123" s="4" t="inlineStr">
        <is>
          <t>PAW PAW Lightdrop sérumactivateur d’éclat extraits de papaye</t>
        </is>
      </c>
      <c r="D123" s="4" t="inlineStr">
        <is>
          <t>Visage et corps</t>
        </is>
      </c>
      <c r="E123" s="4" t="inlineStr">
        <is>
          <t>Sérum</t>
        </is>
      </c>
      <c r="F123" s="4" t="inlineStr">
        <is>
          <t>20 / 50 ampoules 7 ml</t>
        </is>
      </c>
      <c r="G123" s="4">
        <f>IMAGE("https://raw.githubusercontent.com/leslita06/dreamcosmetics-maquette/main/photos/435.jpg")</f>
        <v/>
      </c>
      <c r="H123" s="4" t="inlineStr">
        <is>
          <t>http://dreamcosmetics.net/fr/product/visage-et-corps/s%C3%A9rum/paw-paw-lightdrop-s%C3%A9rumactivateur-d%E2%80%99%C3%A9clat-extraits-de-papaye</t>
        </is>
      </c>
      <c r="I123" s="4" t="inlineStr">
        <is>
          <t>Site Dream Cosmetics</t>
        </is>
      </c>
      <c r="J123" s="4" t="inlineStr"/>
    </row>
    <row r="124" ht="70" customHeight="1">
      <c r="A124" s="4" t="inlineStr">
        <is>
          <t>Paw Paw</t>
        </is>
      </c>
      <c r="B124" s="4" t="inlineStr"/>
      <c r="C124" s="4" t="inlineStr">
        <is>
          <t>PAW PAW Savon clarifiant extraits de papaye</t>
        </is>
      </c>
      <c r="D124" s="4" t="inlineStr">
        <is>
          <t>Savon</t>
        </is>
      </c>
      <c r="E124" s="4" t="inlineStr">
        <is>
          <t>Savon</t>
        </is>
      </c>
      <c r="F124" s="4" t="inlineStr">
        <is>
          <t>180 g</t>
        </is>
      </c>
      <c r="G124" s="4">
        <f>IMAGE("https://raw.githubusercontent.com/leslita06/dreamcosmetics-maquette/main/photos/429.jpg")</f>
        <v/>
      </c>
      <c r="H124" s="4" t="inlineStr">
        <is>
          <t>http://dreamcosmetics.net/fr/product/visage-et-corps/savon/paw-paw-savon-clarifiant-extraits-de-papaye</t>
        </is>
      </c>
      <c r="I124" s="4" t="inlineStr">
        <is>
          <t>Site Dream Cosmetics</t>
        </is>
      </c>
      <c r="J124" s="4" t="inlineStr"/>
    </row>
    <row r="125" ht="70" customHeight="1">
      <c r="A125" s="4" t="inlineStr">
        <is>
          <t>Cocopulp</t>
        </is>
      </c>
      <c r="B125" s="4" t="inlineStr"/>
      <c r="C125" s="4" t="inlineStr">
        <is>
          <t>Cocopulp - tube intense</t>
        </is>
      </c>
      <c r="D125" s="4" t="inlineStr">
        <is>
          <t>Visage et corps</t>
        </is>
      </c>
      <c r="E125" s="4" t="inlineStr">
        <is>
          <t>Crème</t>
        </is>
      </c>
      <c r="F125" s="4" t="inlineStr">
        <is>
          <t>50 g</t>
        </is>
      </c>
      <c r="G125" s="4">
        <f>IMAGE("https://raw.githubusercontent.com/leslita06/dreamcosmetics-maquette/main/photos/291.jpg")</f>
        <v/>
      </c>
      <c r="H125" s="4" t="inlineStr">
        <is>
          <t>http://dreamcosmetics.net/fr/product/visage-et-corps/cr%C3%A8me/cocopulp-tube-intense</t>
        </is>
      </c>
      <c r="I125" s="4" t="inlineStr">
        <is>
          <t>Site Dream Cosmetics</t>
        </is>
      </c>
      <c r="J125" s="4" t="inlineStr"/>
    </row>
    <row r="126" ht="70" customHeight="1">
      <c r="A126" s="4" t="inlineStr">
        <is>
          <t>Cocopulp</t>
        </is>
      </c>
      <c r="B126" s="4" t="inlineStr"/>
      <c r="C126" s="4" t="inlineStr">
        <is>
          <t>Cocopulp Crème clarifiante</t>
        </is>
      </c>
      <c r="D126" s="4" t="inlineStr">
        <is>
          <t>Visage et corps</t>
        </is>
      </c>
      <c r="E126" s="4" t="inlineStr">
        <is>
          <t>Crème</t>
        </is>
      </c>
      <c r="F126" s="5" t="inlineStr">
        <is>
          <t>à confirmer</t>
        </is>
      </c>
      <c r="G126" s="4">
        <f>IMAGE("https://raw.githubusercontent.com/leslita06/dreamcosmetics-maquette/main/photos/117.jpg")</f>
        <v/>
      </c>
      <c r="H126" s="4" t="inlineStr">
        <is>
          <t>http://dreamcosmetics.net/fr/product/visage-et-corps/cr%C3%A8me/cocopulp-cr%C3%A8me-clarifiante</t>
        </is>
      </c>
      <c r="I126" s="4" t="inlineStr">
        <is>
          <t>Site Dream Cosmetics</t>
        </is>
      </c>
      <c r="J126" s="4" t="inlineStr"/>
    </row>
    <row r="127" ht="70" customHeight="1">
      <c r="A127" s="4" t="inlineStr">
        <is>
          <t>Cocopulp</t>
        </is>
      </c>
      <c r="B127" s="4" t="inlineStr"/>
      <c r="C127" s="4" t="inlineStr">
        <is>
          <t>Cocopulp Gel douche</t>
        </is>
      </c>
      <c r="D127" s="4" t="inlineStr">
        <is>
          <t>Corps (douche)</t>
        </is>
      </c>
      <c r="E127" s="4" t="inlineStr">
        <is>
          <t>Gel douche</t>
        </is>
      </c>
      <c r="F127" s="4" t="inlineStr">
        <is>
          <t>500 - 1000 ml</t>
        </is>
      </c>
      <c r="G127" s="4">
        <f>IMAGE("https://raw.githubusercontent.com/leslita06/dreamcosmetics-maquette/main/photos/119.jpg")</f>
        <v/>
      </c>
      <c r="H127" s="4" t="inlineStr">
        <is>
          <t>http://dreamcosmetics.net/fr/product/visage-et-corps/gel-douche/cocopulp-gel-douche</t>
        </is>
      </c>
      <c r="I127" s="4" t="inlineStr">
        <is>
          <t>Site Dream Cosmetics</t>
        </is>
      </c>
      <c r="J127" s="4" t="inlineStr"/>
    </row>
    <row r="128" ht="70" customHeight="1">
      <c r="A128" s="4" t="inlineStr">
        <is>
          <t>Cocopulp</t>
        </is>
      </c>
      <c r="B128" s="4" t="inlineStr"/>
      <c r="C128" s="4" t="inlineStr">
        <is>
          <t>Cocopulp Huile</t>
        </is>
      </c>
      <c r="D128" s="4" t="inlineStr">
        <is>
          <t>Visage et corps</t>
        </is>
      </c>
      <c r="E128" s="4" t="inlineStr">
        <is>
          <t>Huile</t>
        </is>
      </c>
      <c r="F128" s="5" t="inlineStr">
        <is>
          <t>à confirmer</t>
        </is>
      </c>
      <c r="G128" s="4">
        <f>IMAGE("https://raw.githubusercontent.com/leslita06/dreamcosmetics-maquette/main/photos/120.jpg")</f>
        <v/>
      </c>
      <c r="H128" s="4" t="inlineStr">
        <is>
          <t>http://dreamcosmetics.net/fr/product/visage-et-corps/huile/cocopulp-huile</t>
        </is>
      </c>
      <c r="I128" s="4" t="inlineStr">
        <is>
          <t>Site Dream Cosmetics</t>
        </is>
      </c>
      <c r="J128" s="4" t="inlineStr"/>
    </row>
    <row r="129" ht="70" customHeight="1">
      <c r="A129" s="4" t="inlineStr">
        <is>
          <t>Cocopulp</t>
        </is>
      </c>
      <c r="B129" s="4" t="inlineStr"/>
      <c r="C129" s="4" t="inlineStr">
        <is>
          <t>Cocopulp Lait</t>
        </is>
      </c>
      <c r="D129" s="4" t="inlineStr">
        <is>
          <t>Visage et corps</t>
        </is>
      </c>
      <c r="E129" s="4" t="inlineStr">
        <is>
          <t>Lait</t>
        </is>
      </c>
      <c r="F129" s="4" t="inlineStr">
        <is>
          <t>250 - 500 ml</t>
        </is>
      </c>
      <c r="G129" s="4">
        <f>IMAGE("https://raw.githubusercontent.com/leslita06/dreamcosmetics-maquette/main/photos/121.jpg")</f>
        <v/>
      </c>
      <c r="H129" s="4" t="inlineStr">
        <is>
          <t>http://dreamcosmetics.net/fr/product/visage-et-corps/lait/cocopulp-lait</t>
        </is>
      </c>
      <c r="I129" s="4" t="inlineStr">
        <is>
          <t>Site Dream Cosmetics</t>
        </is>
      </c>
      <c r="J129" s="4" t="inlineStr"/>
    </row>
    <row r="130" ht="70" customHeight="1">
      <c r="A130" s="4" t="inlineStr">
        <is>
          <t>Cocopulp</t>
        </is>
      </c>
      <c r="B130" s="4" t="inlineStr"/>
      <c r="C130" s="4" t="inlineStr">
        <is>
          <t>Cocopulp Savon clarifiant</t>
        </is>
      </c>
      <c r="D130" s="4" t="inlineStr">
        <is>
          <t>Savon</t>
        </is>
      </c>
      <c r="E130" s="4" t="inlineStr">
        <is>
          <t>Savon</t>
        </is>
      </c>
      <c r="F130" s="5" t="inlineStr">
        <is>
          <t>à confirmer</t>
        </is>
      </c>
      <c r="G130" s="4">
        <f>IMAGE("https://raw.githubusercontent.com/leslita06/dreamcosmetics-maquette/main/photos/118.jpg")</f>
        <v/>
      </c>
      <c r="H130" s="4" t="inlineStr">
        <is>
          <t>http://dreamcosmetics.net/fr/product/visage-et-corps/savon/cocopulp-savon-clarifiant</t>
        </is>
      </c>
      <c r="I130" s="4" t="inlineStr">
        <is>
          <t>Site Dream Cosmetics</t>
        </is>
      </c>
      <c r="J130" s="4" t="inlineStr"/>
    </row>
    <row r="131" ht="70" customHeight="1">
      <c r="A131" s="4" t="inlineStr">
        <is>
          <t>Dermaskin</t>
        </is>
      </c>
      <c r="B131" s="4" t="inlineStr"/>
      <c r="C131" s="4" t="inlineStr">
        <is>
          <t>Dermaskin crème visage et corps - beurre de cacao</t>
        </is>
      </c>
      <c r="D131" s="4" t="inlineStr">
        <is>
          <t>Visage et corps</t>
        </is>
      </c>
      <c r="E131" s="4" t="inlineStr">
        <is>
          <t>Crème</t>
        </is>
      </c>
      <c r="F131" s="4" t="inlineStr">
        <is>
          <t>250 - 1000 ml</t>
        </is>
      </c>
      <c r="G131" s="4">
        <f>IMAGE("https://raw.githubusercontent.com/leslita06/dreamcosmetics-maquette/main/photos/92.jpg")</f>
        <v/>
      </c>
      <c r="H131" s="4" t="inlineStr">
        <is>
          <t>http://dreamcosmetics.net/fr/product/visage-et-corps/cr%C3%A8me/dermaskin-cr%C3%A8me-visage-et-corps-beurre-de-cacao</t>
        </is>
      </c>
      <c r="I131" s="4" t="inlineStr">
        <is>
          <t>Site Dream Cosmetics</t>
        </is>
      </c>
      <c r="J131" s="4" t="inlineStr"/>
    </row>
    <row r="132" ht="70" customHeight="1">
      <c r="A132" s="4" t="inlineStr">
        <is>
          <t>Dermaskin</t>
        </is>
      </c>
      <c r="B132" s="4" t="inlineStr"/>
      <c r="C132" s="4" t="inlineStr">
        <is>
          <t>Dermaskin crème visage et corps - Citron</t>
        </is>
      </c>
      <c r="D132" s="4" t="inlineStr">
        <is>
          <t>Visage et corps</t>
        </is>
      </c>
      <c r="E132" s="4" t="inlineStr">
        <is>
          <t>Crème</t>
        </is>
      </c>
      <c r="F132" s="4" t="inlineStr">
        <is>
          <t>250 - 1000 ml</t>
        </is>
      </c>
      <c r="G132" s="4">
        <f>IMAGE("https://raw.githubusercontent.com/leslita06/dreamcosmetics-maquette/main/photos/93.jpg")</f>
        <v/>
      </c>
      <c r="H132" s="4" t="inlineStr">
        <is>
          <t>http://dreamcosmetics.net/fr/product/visage-et-corps/cr%C3%A8me/dermaskin-cr%C3%A8me-visage-et-corps-citron</t>
        </is>
      </c>
      <c r="I132" s="4" t="inlineStr">
        <is>
          <t>Site Dream Cosmetics</t>
        </is>
      </c>
      <c r="J132" s="4" t="inlineStr"/>
    </row>
    <row r="133" ht="70" customHeight="1">
      <c r="A133" s="4" t="inlineStr">
        <is>
          <t>Dermaskin</t>
        </is>
      </c>
      <c r="B133" s="4" t="inlineStr"/>
      <c r="C133" s="4" t="inlineStr">
        <is>
          <t>Dermaskin crème visage et corps - Glycerine</t>
        </is>
      </c>
      <c r="D133" s="4" t="inlineStr">
        <is>
          <t>Visage et corps</t>
        </is>
      </c>
      <c r="E133" s="4" t="inlineStr">
        <is>
          <t>Crème</t>
        </is>
      </c>
      <c r="F133" s="4" t="inlineStr">
        <is>
          <t>250 - 1000 ml</t>
        </is>
      </c>
      <c r="G133" s="4">
        <f>IMAGE("https://raw.githubusercontent.com/leslita06/dreamcosmetics-maquette/main/photos/94.jpg")</f>
        <v/>
      </c>
      <c r="H133" s="4" t="inlineStr">
        <is>
          <t>http://dreamcosmetics.net/fr/product/visage-et-corps/cr%C3%A8me/dermaskin-cr%C3%A8me-visage-et-corps-glycerine</t>
        </is>
      </c>
      <c r="I133" s="4" t="inlineStr">
        <is>
          <t>Site Dream Cosmetics</t>
        </is>
      </c>
      <c r="J133" s="4" t="inlineStr"/>
    </row>
    <row r="134" ht="70" customHeight="1">
      <c r="A134" s="4" t="inlineStr">
        <is>
          <t>Dermaskin</t>
        </is>
      </c>
      <c r="B134" s="4" t="inlineStr"/>
      <c r="C134" s="4" t="inlineStr">
        <is>
          <t>Dermaskin Crème visage et corps - vitamine E</t>
        </is>
      </c>
      <c r="D134" s="4" t="inlineStr">
        <is>
          <t>Visage et corps</t>
        </is>
      </c>
      <c r="E134" s="4" t="inlineStr">
        <is>
          <t>Crème</t>
        </is>
      </c>
      <c r="F134" s="4" t="inlineStr">
        <is>
          <t>250 - 1000 ml</t>
        </is>
      </c>
      <c r="G134" s="4">
        <f>IMAGE("https://raw.githubusercontent.com/leslita06/dreamcosmetics-maquette/main/photos/90.jpg")</f>
        <v/>
      </c>
      <c r="H134" s="4" t="inlineStr">
        <is>
          <t>http://dreamcosmetics.net/fr/product/visage-et-corps/cr%C3%A8me/dermaskin-cr%C3%A8me-visage-et-corps-vitamine-e</t>
        </is>
      </c>
      <c r="I134" s="4" t="inlineStr">
        <is>
          <t>Site Dream Cosmetics</t>
        </is>
      </c>
      <c r="J134" s="4" t="inlineStr"/>
    </row>
    <row r="135" ht="70" customHeight="1">
      <c r="A135" s="4" t="inlineStr">
        <is>
          <t>Dermaskin</t>
        </is>
      </c>
      <c r="B135" s="4" t="inlineStr"/>
      <c r="C135" s="4" t="inlineStr">
        <is>
          <t>Dermaskin Visage et main beurre de cacao</t>
        </is>
      </c>
      <c r="D135" s="4" t="inlineStr">
        <is>
          <t>Visage</t>
        </is>
      </c>
      <c r="E135" s="4" t="inlineStr">
        <is>
          <t>Lait</t>
        </is>
      </c>
      <c r="F135" s="5" t="inlineStr">
        <is>
          <t>à confirmer</t>
        </is>
      </c>
      <c r="G135" s="4">
        <f>IMAGE("https://raw.githubusercontent.com/leslita06/dreamcosmetics-maquette/main/photos/98.jpg")</f>
        <v/>
      </c>
      <c r="H135" s="4" t="inlineStr">
        <is>
          <t>http://dreamcosmetics.net/fr/product/visage-et-corps/lait/dermaskin-visage-et-main-beurre-de-cacao</t>
        </is>
      </c>
      <c r="I135" s="4" t="inlineStr">
        <is>
          <t>Site Dream Cosmetics</t>
        </is>
      </c>
      <c r="J135" s="4" t="inlineStr"/>
    </row>
    <row r="136" ht="70" customHeight="1">
      <c r="A136" s="4" t="inlineStr">
        <is>
          <t>Dermaskin</t>
        </is>
      </c>
      <c r="B136" s="4" t="inlineStr"/>
      <c r="C136" s="4" t="inlineStr">
        <is>
          <t>Dermaskin visage et main Glycérine</t>
        </is>
      </c>
      <c r="D136" s="4" t="inlineStr">
        <is>
          <t>Visage</t>
        </is>
      </c>
      <c r="E136" s="4" t="inlineStr">
        <is>
          <t>Lait</t>
        </is>
      </c>
      <c r="F136" s="5" t="inlineStr">
        <is>
          <t>à confirmer</t>
        </is>
      </c>
      <c r="G136" s="4">
        <f>IMAGE("https://raw.githubusercontent.com/leslita06/dreamcosmetics-maquette/main/photos/96.jpg")</f>
        <v/>
      </c>
      <c r="H136" s="4" t="inlineStr">
        <is>
          <t>http://dreamcosmetics.net/fr/product/visage-et-corps/lait/dermaskin-visage-et-main-glyc%C3%A9rine</t>
        </is>
      </c>
      <c r="I136" s="4" t="inlineStr">
        <is>
          <t>Site Dream Cosmetics</t>
        </is>
      </c>
      <c r="J136" s="4" t="inlineStr"/>
    </row>
    <row r="137" ht="70" customHeight="1">
      <c r="A137" s="4" t="inlineStr">
        <is>
          <t>Dermaskin</t>
        </is>
      </c>
      <c r="B137" s="4" t="inlineStr"/>
      <c r="C137" s="4" t="inlineStr">
        <is>
          <t>Dermaskin visage et main Vitamine C</t>
        </is>
      </c>
      <c r="D137" s="4" t="inlineStr">
        <is>
          <t>Visage</t>
        </is>
      </c>
      <c r="E137" s="4" t="inlineStr">
        <is>
          <t>Lait</t>
        </is>
      </c>
      <c r="F137" s="4" t="inlineStr">
        <is>
          <t>250 - 400 ml</t>
        </is>
      </c>
      <c r="G137" s="4">
        <f>IMAGE("https://raw.githubusercontent.com/leslita06/dreamcosmetics-maquette/main/photos/97.jpg")</f>
        <v/>
      </c>
      <c r="H137" s="4" t="inlineStr">
        <is>
          <t>http://dreamcosmetics.net/fr/product/visage-et-corps/lait/dermaskin-visage-et-main-vitamine-c</t>
        </is>
      </c>
      <c r="I137" s="4" t="inlineStr">
        <is>
          <t>Site Dream Cosmetics</t>
        </is>
      </c>
      <c r="J137" s="4" t="inlineStr"/>
    </row>
    <row r="138" ht="70" customHeight="1">
      <c r="A138" s="4" t="inlineStr">
        <is>
          <t>Dermaskin</t>
        </is>
      </c>
      <c r="B138" s="4" t="inlineStr"/>
      <c r="C138" s="4" t="inlineStr">
        <is>
          <t>Dermaskin Visage et main Vitamine E</t>
        </is>
      </c>
      <c r="D138" s="4" t="inlineStr">
        <is>
          <t>Visage</t>
        </is>
      </c>
      <c r="E138" s="4" t="inlineStr">
        <is>
          <t>Lait</t>
        </is>
      </c>
      <c r="F138" s="5" t="inlineStr">
        <is>
          <t>à confirmer</t>
        </is>
      </c>
      <c r="G138" s="4">
        <f>IMAGE("https://raw.githubusercontent.com/leslita06/dreamcosmetics-maquette/main/photos/95.jpg")</f>
        <v/>
      </c>
      <c r="H138" s="4" t="inlineStr">
        <is>
          <t>http://dreamcosmetics.net/fr/product/visage-et-corps/lait/dermaskin-visage-et-main-vitamine-e</t>
        </is>
      </c>
      <c r="I138" s="4" t="inlineStr">
        <is>
          <t>Site Dream Cosmetics</t>
        </is>
      </c>
      <c r="J138" s="4" t="inlineStr"/>
    </row>
    <row r="139" ht="70" customHeight="1">
      <c r="A139" s="4" t="inlineStr">
        <is>
          <t>Biolight</t>
        </is>
      </c>
      <c r="B139" s="4" t="inlineStr"/>
      <c r="C139" s="4" t="inlineStr">
        <is>
          <t>Biolight - Pommade</t>
        </is>
      </c>
      <c r="D139" s="4" t="inlineStr">
        <is>
          <t>Visage et corps</t>
        </is>
      </c>
      <c r="E139" s="4" t="inlineStr">
        <is>
          <t>Pommade</t>
        </is>
      </c>
      <c r="F139" s="5" t="inlineStr">
        <is>
          <t>à confirmer</t>
        </is>
      </c>
      <c r="G139" s="4">
        <f>IMAGE("https://raw.githubusercontent.com/leslita06/dreamcosmetics-maquette/main/photos/244.jpg")</f>
        <v/>
      </c>
      <c r="H139" s="4" t="inlineStr">
        <is>
          <t>http://dreamcosmetics.net/fr/product/visage-et-corps/pommade/biolight-pommade</t>
        </is>
      </c>
      <c r="I139" s="4" t="inlineStr">
        <is>
          <t>Site Dream Cosmetics</t>
        </is>
      </c>
      <c r="J139" s="4" t="inlineStr"/>
    </row>
    <row r="140" ht="70" customHeight="1">
      <c r="A140" s="4" t="inlineStr">
        <is>
          <t>Biolight</t>
        </is>
      </c>
      <c r="B140" s="4" t="inlineStr"/>
      <c r="C140" s="4" t="inlineStr">
        <is>
          <t>Biolight - tube clarifiant</t>
        </is>
      </c>
      <c r="D140" s="4" t="inlineStr">
        <is>
          <t>Visage et corps</t>
        </is>
      </c>
      <c r="E140" s="4" t="inlineStr">
        <is>
          <t>Crème</t>
        </is>
      </c>
      <c r="F140" s="4" t="inlineStr">
        <is>
          <t>30 g</t>
        </is>
      </c>
      <c r="G140" s="4">
        <f>IMAGE("https://raw.githubusercontent.com/leslita06/dreamcosmetics-maquette/main/photos/288.jpg")</f>
        <v/>
      </c>
      <c r="H140" s="4" t="inlineStr">
        <is>
          <t>http://dreamcosmetics.net/fr/product/visage-et-corps/cr%C3%A8me/biolight-tube-clarifiant</t>
        </is>
      </c>
      <c r="I140" s="4" t="inlineStr">
        <is>
          <t>Site Dream Cosmetics</t>
        </is>
      </c>
      <c r="J140" s="4" t="inlineStr"/>
    </row>
    <row r="141" ht="70" customHeight="1">
      <c r="A141" s="4" t="inlineStr">
        <is>
          <t>Biolight</t>
        </is>
      </c>
      <c r="B141" s="4" t="inlineStr"/>
      <c r="C141" s="4" t="inlineStr">
        <is>
          <t>Biolight Crème</t>
        </is>
      </c>
      <c r="D141" s="4" t="inlineStr">
        <is>
          <t>Visage et corps</t>
        </is>
      </c>
      <c r="E141" s="4" t="inlineStr">
        <is>
          <t>Crème</t>
        </is>
      </c>
      <c r="F141" s="4" t="inlineStr">
        <is>
          <t>150 - 300 - 500 ml</t>
        </is>
      </c>
      <c r="G141" s="4">
        <f>IMAGE("https://raw.githubusercontent.com/leslita06/dreamcosmetics-maquette/main/photos/111.jpg")</f>
        <v/>
      </c>
      <c r="H141" s="4" t="inlineStr">
        <is>
          <t>http://dreamcosmetics.net/fr/product/visage-et-corps/cr%C3%A8me/biolight-cr%C3%A8me</t>
        </is>
      </c>
      <c r="I141" s="4" t="inlineStr">
        <is>
          <t>Site Dream Cosmetics</t>
        </is>
      </c>
      <c r="J141" s="4" t="inlineStr"/>
    </row>
    <row r="142" ht="70" customHeight="1">
      <c r="A142" s="4" t="inlineStr">
        <is>
          <t>Biolight</t>
        </is>
      </c>
      <c r="B142" s="4" t="inlineStr"/>
      <c r="C142" s="4" t="inlineStr">
        <is>
          <t>Biolight Gel douche</t>
        </is>
      </c>
      <c r="D142" s="4" t="inlineStr">
        <is>
          <t>Corps (douche)</t>
        </is>
      </c>
      <c r="E142" s="4" t="inlineStr">
        <is>
          <t>Gel douche</t>
        </is>
      </c>
      <c r="F142" s="5" t="inlineStr">
        <is>
          <t>à confirmer</t>
        </is>
      </c>
      <c r="G142" s="4">
        <f>IMAGE("https://raw.githubusercontent.com/leslita06/dreamcosmetics-maquette/main/photos/198.jpg")</f>
        <v/>
      </c>
      <c r="H142" s="4" t="inlineStr">
        <is>
          <t>http://dreamcosmetics.net/fr/product/visage-et-corps/gel-douche/biolight-gel-douche-0</t>
        </is>
      </c>
      <c r="I142" s="4" t="inlineStr">
        <is>
          <t>Site Dream Cosmetics</t>
        </is>
      </c>
      <c r="J142" s="4" t="inlineStr"/>
    </row>
    <row r="143" ht="70" customHeight="1">
      <c r="A143" s="4" t="inlineStr">
        <is>
          <t>Biolight</t>
        </is>
      </c>
      <c r="B143" s="4" t="inlineStr"/>
      <c r="C143" s="4" t="inlineStr">
        <is>
          <t>Biolight huile</t>
        </is>
      </c>
      <c r="D143" s="4" t="inlineStr">
        <is>
          <t>Visage et corps</t>
        </is>
      </c>
      <c r="E143" s="4" t="inlineStr">
        <is>
          <t>Huile</t>
        </is>
      </c>
      <c r="F143" s="4" t="inlineStr">
        <is>
          <t>50 ml</t>
        </is>
      </c>
      <c r="G143" s="4">
        <f>IMAGE("https://raw.githubusercontent.com/leslita06/dreamcosmetics-maquette/main/photos/113.jpg")</f>
        <v/>
      </c>
      <c r="H143" s="4" t="inlineStr">
        <is>
          <t>http://dreamcosmetics.net/fr/product/visage-et-corps/huile/biolight-huile</t>
        </is>
      </c>
      <c r="I143" s="4" t="inlineStr">
        <is>
          <t>Site Dream Cosmetics</t>
        </is>
      </c>
      <c r="J143" s="4" t="inlineStr"/>
    </row>
    <row r="144" ht="70" customHeight="1">
      <c r="A144" s="4" t="inlineStr">
        <is>
          <t>Biolight</t>
        </is>
      </c>
      <c r="B144" s="4" t="inlineStr"/>
      <c r="C144" s="4" t="inlineStr">
        <is>
          <t>Biolight Lait</t>
        </is>
      </c>
      <c r="D144" s="4" t="inlineStr">
        <is>
          <t>Visage et corps</t>
        </is>
      </c>
      <c r="E144" s="4" t="inlineStr">
        <is>
          <t>Lait</t>
        </is>
      </c>
      <c r="F144" s="4" t="inlineStr">
        <is>
          <t>250 - 500 ml</t>
        </is>
      </c>
      <c r="G144" s="4">
        <f>IMAGE("https://raw.githubusercontent.com/leslita06/dreamcosmetics-maquette/main/photos/114.jpg")</f>
        <v/>
      </c>
      <c r="H144" s="4" t="inlineStr">
        <is>
          <t>http://dreamcosmetics.net/fr/product/visage-et-corps/lait/biolight-lait</t>
        </is>
      </c>
      <c r="I144" s="4" t="inlineStr">
        <is>
          <t>Site Dream Cosmetics</t>
        </is>
      </c>
      <c r="J144" s="4" t="inlineStr"/>
    </row>
    <row r="145" ht="70" customHeight="1">
      <c r="A145" s="4" t="inlineStr">
        <is>
          <t>Biolight</t>
        </is>
      </c>
      <c r="B145" s="4" t="inlineStr"/>
      <c r="C145" s="4" t="inlineStr">
        <is>
          <t>Biolight Savon</t>
        </is>
      </c>
      <c r="D145" s="4" t="inlineStr">
        <is>
          <t>Savon</t>
        </is>
      </c>
      <c r="E145" s="4" t="inlineStr">
        <is>
          <t>Savon</t>
        </is>
      </c>
      <c r="F145" s="5" t="inlineStr">
        <is>
          <t>à confirmer</t>
        </is>
      </c>
      <c r="G145" s="4">
        <f>IMAGE("https://raw.githubusercontent.com/leslita06/dreamcosmetics-maquette/main/photos/115.jpg")</f>
        <v/>
      </c>
      <c r="H145" s="4" t="inlineStr">
        <is>
          <t>http://dreamcosmetics.net/fr/product/visage-et-corps/savon/biolight-savon</t>
        </is>
      </c>
      <c r="I145" s="4" t="inlineStr">
        <is>
          <t>Site Dream Cosmetics</t>
        </is>
      </c>
      <c r="J145" s="4" t="inlineStr"/>
    </row>
    <row r="146" ht="70" customHeight="1">
      <c r="A146" s="4" t="inlineStr">
        <is>
          <t>Clear Therapy</t>
        </is>
      </c>
      <c r="B146" s="4" t="inlineStr"/>
      <c r="C146" s="4" t="inlineStr">
        <is>
          <t>Clear therapy crème clarifiante aux extraits végétaux</t>
        </is>
      </c>
      <c r="D146" s="4" t="inlineStr">
        <is>
          <t>Visage et corps</t>
        </is>
      </c>
      <c r="E146" s="4" t="inlineStr">
        <is>
          <t>Crème</t>
        </is>
      </c>
      <c r="F146" s="4" t="inlineStr">
        <is>
          <t>200 - 400 ml</t>
        </is>
      </c>
      <c r="G146" s="4">
        <f>IMAGE("https://raw.githubusercontent.com/leslita06/dreamcosmetics-maquette/main/photos/161.jpg")</f>
        <v/>
      </c>
      <c r="H146" s="4" t="inlineStr">
        <is>
          <t>http://dreamcosmetics.net/fr/product/visage-et-corps/cr%C3%A8me/clear-therapy-cr%C3%A8me-clarifiante-aux-extraits-v%C3%A9g%C3%A9taux</t>
        </is>
      </c>
      <c r="I146" s="4" t="inlineStr">
        <is>
          <t>Site Dream Cosmetics</t>
        </is>
      </c>
      <c r="J146" s="4" t="inlineStr"/>
    </row>
    <row r="147" ht="70" customHeight="1">
      <c r="A147" s="4" t="inlineStr">
        <is>
          <t>Clear Therapy</t>
        </is>
      </c>
      <c r="B147" s="4" t="inlineStr"/>
      <c r="C147" s="4" t="inlineStr">
        <is>
          <t>Clear therapy crème clarifiante huile de carotte</t>
        </is>
      </c>
      <c r="D147" s="4" t="inlineStr">
        <is>
          <t>Visage et corps</t>
        </is>
      </c>
      <c r="E147" s="4" t="inlineStr">
        <is>
          <t>Crème</t>
        </is>
      </c>
      <c r="F147" s="4" t="inlineStr">
        <is>
          <t>200 - 400 ml</t>
        </is>
      </c>
      <c r="G147" s="4">
        <f>IMAGE("https://raw.githubusercontent.com/leslita06/dreamcosmetics-maquette/main/photos/160.jpg")</f>
        <v/>
      </c>
      <c r="H147" s="4" t="inlineStr">
        <is>
          <t>http://dreamcosmetics.net/fr/product/visage-et-corps/cr%C3%A8me/clear-therapy-cr%C3%A8me-clarifiante-huile-de-carotte</t>
        </is>
      </c>
      <c r="I147" s="4" t="inlineStr">
        <is>
          <t>Site Dream Cosmetics</t>
        </is>
      </c>
      <c r="J147" s="4" t="inlineStr"/>
    </row>
    <row r="148" ht="70" customHeight="1">
      <c r="A148" s="4" t="inlineStr">
        <is>
          <t>Clear Therapy</t>
        </is>
      </c>
      <c r="B148" s="4" t="inlineStr"/>
      <c r="C148" s="4" t="inlineStr">
        <is>
          <t>Clear therapy crème clarifiante intense aux extraits végétaux</t>
        </is>
      </c>
      <c r="D148" s="4" t="inlineStr">
        <is>
          <t>Visage et corps</t>
        </is>
      </c>
      <c r="E148" s="4" t="inlineStr">
        <is>
          <t>Crème</t>
        </is>
      </c>
      <c r="F148" s="4" t="inlineStr">
        <is>
          <t>50 g</t>
        </is>
      </c>
      <c r="G148" s="4">
        <f>IMAGE("https://raw.githubusercontent.com/leslita06/dreamcosmetics-maquette/main/photos/284.jpg")</f>
        <v/>
      </c>
      <c r="H148" s="4" t="inlineStr">
        <is>
          <t>http://dreamcosmetics.net/fr/product/visage-et-corps/cr%C3%A8me/clear-therapy-cr%C3%A8me-clarifiante-intense-aux-extraits-v%C3%A9g%C3%A9taux</t>
        </is>
      </c>
      <c r="I148" s="4" t="inlineStr">
        <is>
          <t>Site Dream Cosmetics</t>
        </is>
      </c>
      <c r="J148" s="4" t="inlineStr"/>
    </row>
    <row r="149" ht="70" customHeight="1">
      <c r="A149" s="4" t="inlineStr">
        <is>
          <t>Clear Therapy</t>
        </is>
      </c>
      <c r="B149" s="4" t="inlineStr"/>
      <c r="C149" s="4" t="inlineStr">
        <is>
          <t>Clear therapy crème clarifiante intense huile de carotte</t>
        </is>
      </c>
      <c r="D149" s="4" t="inlineStr">
        <is>
          <t>Visage et corps</t>
        </is>
      </c>
      <c r="E149" s="4" t="inlineStr">
        <is>
          <t>Crème</t>
        </is>
      </c>
      <c r="F149" s="4" t="inlineStr">
        <is>
          <t>50 g</t>
        </is>
      </c>
      <c r="G149" s="4">
        <f>IMAGE("https://raw.githubusercontent.com/leslita06/dreamcosmetics-maquette/main/photos/287.jpg")</f>
        <v/>
      </c>
      <c r="H149" s="4" t="inlineStr">
        <is>
          <t>http://dreamcosmetics.net/fr/product/visage-et-corps/cr%C3%A8me/clear-therapy-cr%C3%A8me-clarifiante-intense-huile-de-carotte</t>
        </is>
      </c>
      <c r="I149" s="4" t="inlineStr">
        <is>
          <t>Site Dream Cosmetics</t>
        </is>
      </c>
      <c r="J149" s="4" t="inlineStr"/>
    </row>
    <row r="150" ht="70" customHeight="1">
      <c r="A150" s="4" t="inlineStr">
        <is>
          <t>Clear Therapy</t>
        </is>
      </c>
      <c r="B150" s="4" t="inlineStr"/>
      <c r="C150" s="4" t="inlineStr">
        <is>
          <t>Clear therapy gel douche clarifiant aux extraits végétaux</t>
        </is>
      </c>
      <c r="D150" s="4" t="inlineStr">
        <is>
          <t>Corps (douche)</t>
        </is>
      </c>
      <c r="E150" s="4" t="inlineStr">
        <is>
          <t>Gel douche</t>
        </is>
      </c>
      <c r="F150" s="4" t="inlineStr">
        <is>
          <t>800 ml</t>
        </is>
      </c>
      <c r="G150" s="4">
        <f>IMAGE("https://raw.githubusercontent.com/leslita06/dreamcosmetics-maquette/main/photos/250.jpg")</f>
        <v/>
      </c>
      <c r="H150" s="4" t="inlineStr">
        <is>
          <t>http://dreamcosmetics.net/fr/product/visage-et-corps/gel-douche/clear-therapy-gel-douche-clarifiant-aux-extraits-v%C3%A9g%C3%A9taux</t>
        </is>
      </c>
      <c r="I150" s="4" t="inlineStr">
        <is>
          <t>Site Dream Cosmetics</t>
        </is>
      </c>
      <c r="J150" s="4" t="inlineStr"/>
    </row>
    <row r="151" ht="70" customHeight="1">
      <c r="A151" s="4" t="inlineStr">
        <is>
          <t>Clear Therapy</t>
        </is>
      </c>
      <c r="B151" s="4" t="inlineStr"/>
      <c r="C151" s="4" t="inlineStr">
        <is>
          <t>Clear therapy gel douche clarifiant huile de carotte</t>
        </is>
      </c>
      <c r="D151" s="4" t="inlineStr">
        <is>
          <t>Corps (douche)</t>
        </is>
      </c>
      <c r="E151" s="4" t="inlineStr">
        <is>
          <t>Gel douche</t>
        </is>
      </c>
      <c r="F151" s="4" t="inlineStr">
        <is>
          <t>800 ml</t>
        </is>
      </c>
      <c r="G151" s="4">
        <f>IMAGE("https://raw.githubusercontent.com/leslita06/dreamcosmetics-maquette/main/photos/251.jpg")</f>
        <v/>
      </c>
      <c r="H151" s="4" t="inlineStr">
        <is>
          <t>http://dreamcosmetics.net/fr/product/visage-et-corps/gel-douche/clear-therapy-gel-douche-clarifiant-huile-de-carotte</t>
        </is>
      </c>
      <c r="I151" s="4" t="inlineStr">
        <is>
          <t>Site Dream Cosmetics</t>
        </is>
      </c>
      <c r="J151" s="4" t="inlineStr"/>
    </row>
    <row r="152" ht="70" customHeight="1">
      <c r="A152" s="4" t="inlineStr">
        <is>
          <t>Clear Therapy</t>
        </is>
      </c>
      <c r="B152" s="4" t="inlineStr"/>
      <c r="C152" s="4" t="inlineStr">
        <is>
          <t>Clear therapy lait clarifiant huile de carotte</t>
        </is>
      </c>
      <c r="D152" s="4" t="inlineStr">
        <is>
          <t>Visage et corps</t>
        </is>
      </c>
      <c r="E152" s="4" t="inlineStr">
        <is>
          <t>Lait</t>
        </is>
      </c>
      <c r="F152" s="4" t="inlineStr">
        <is>
          <t>250 - 500 ml</t>
        </is>
      </c>
      <c r="G152" s="4">
        <f>IMAGE("https://raw.githubusercontent.com/leslita06/dreamcosmetics-maquette/main/photos/163.jpg")</f>
        <v/>
      </c>
      <c r="H152" s="4" t="inlineStr">
        <is>
          <t>http://dreamcosmetics.net/fr/product/visage-et-corps/lait/clear-therapy-lait-clarifiant-huile-de-carotte</t>
        </is>
      </c>
      <c r="I152" s="4" t="inlineStr">
        <is>
          <t>Site Dream Cosmetics</t>
        </is>
      </c>
      <c r="J152" s="4" t="inlineStr"/>
    </row>
    <row r="153" ht="70" customHeight="1">
      <c r="A153" s="4" t="inlineStr">
        <is>
          <t>Clear Therapy</t>
        </is>
      </c>
      <c r="B153" s="4" t="inlineStr"/>
      <c r="C153" s="4" t="inlineStr">
        <is>
          <t>Clear therapy savon clarifiant aux extraits végétaux</t>
        </is>
      </c>
      <c r="D153" s="4" t="inlineStr">
        <is>
          <t>Savon</t>
        </is>
      </c>
      <c r="E153" s="4" t="inlineStr">
        <is>
          <t>Savon</t>
        </is>
      </c>
      <c r="F153" s="4" t="inlineStr">
        <is>
          <t>175 g</t>
        </is>
      </c>
      <c r="G153" s="4">
        <f>IMAGE("https://raw.githubusercontent.com/leslita06/dreamcosmetics-maquette/main/photos/168.jpg")</f>
        <v/>
      </c>
      <c r="H153" s="4" t="inlineStr">
        <is>
          <t>http://dreamcosmetics.net/fr/product/visage-et-corps/savon/clear-therapy-savon-clarifiant-aux-extraits-v%C3%A9g%C3%A9taux</t>
        </is>
      </c>
      <c r="I153" s="4" t="inlineStr">
        <is>
          <t>Site Dream Cosmetics</t>
        </is>
      </c>
      <c r="J153" s="4" t="inlineStr"/>
    </row>
    <row r="154" ht="70" customHeight="1">
      <c r="A154" s="4" t="inlineStr">
        <is>
          <t>Clear Therapy</t>
        </is>
      </c>
      <c r="B154" s="4" t="inlineStr"/>
      <c r="C154" s="4" t="inlineStr">
        <is>
          <t>Clear therapy savon clarifiant huile de carotte</t>
        </is>
      </c>
      <c r="D154" s="4" t="inlineStr">
        <is>
          <t>Savon</t>
        </is>
      </c>
      <c r="E154" s="4" t="inlineStr">
        <is>
          <t>Savon</t>
        </is>
      </c>
      <c r="F154" s="5" t="inlineStr">
        <is>
          <t>à confirmer</t>
        </is>
      </c>
      <c r="G154" s="4">
        <f>IMAGE("https://raw.githubusercontent.com/leslita06/dreamcosmetics-maquette/main/photos/249.jpg")</f>
        <v/>
      </c>
      <c r="H154" s="4" t="inlineStr">
        <is>
          <t>http://dreamcosmetics.net/fr/product/visage-et-corps/savon/clear-therapy-savon-clarifiant-huile-de-carotte</t>
        </is>
      </c>
      <c r="I154" s="4" t="inlineStr">
        <is>
          <t>Site Dream Cosmetics</t>
        </is>
      </c>
      <c r="J154" s="4" t="inlineStr"/>
    </row>
    <row r="155" ht="70" customHeight="1">
      <c r="A155" s="4" t="inlineStr">
        <is>
          <t>Clear Therapy</t>
        </is>
      </c>
      <c r="B155" s="4" t="inlineStr"/>
      <c r="C155" s="4" t="inlineStr">
        <is>
          <t>Clear therapy sérum clarifiant aux extraits végétaux</t>
        </is>
      </c>
      <c r="D155" s="4" t="inlineStr">
        <is>
          <t>Visage et corps</t>
        </is>
      </c>
      <c r="E155" s="4" t="inlineStr">
        <is>
          <t>Sérum</t>
        </is>
      </c>
      <c r="F155" s="5" t="inlineStr">
        <is>
          <t>à confirmer</t>
        </is>
      </c>
      <c r="G155" s="4">
        <f>IMAGE("https://raw.githubusercontent.com/leslita06/dreamcosmetics-maquette/main/photos/170.jpg")</f>
        <v/>
      </c>
      <c r="H155" s="4" t="inlineStr">
        <is>
          <t>http://dreamcosmetics.net/fr/product/visage-et-corps/s%C3%A9rum/clear-therapy-s%C3%A9rum-clarifiant-aux-extraits-v%C3%A9g%C3%A9taux</t>
        </is>
      </c>
      <c r="I155" s="4" t="inlineStr">
        <is>
          <t>Site Dream Cosmetics</t>
        </is>
      </c>
      <c r="J155" s="4" t="inlineStr"/>
    </row>
    <row r="156" ht="70" customHeight="1">
      <c r="A156" s="4" t="inlineStr">
        <is>
          <t>Clear Therapy</t>
        </is>
      </c>
      <c r="B156" s="4" t="inlineStr"/>
      <c r="C156" s="4" t="inlineStr">
        <is>
          <t>Clear therapy sérum clarifiant huile de carotte</t>
        </is>
      </c>
      <c r="D156" s="4" t="inlineStr">
        <is>
          <t>Visage et corps</t>
        </is>
      </c>
      <c r="E156" s="4" t="inlineStr">
        <is>
          <t>Sérum</t>
        </is>
      </c>
      <c r="F156" s="5" t="inlineStr">
        <is>
          <t>à confirmer</t>
        </is>
      </c>
      <c r="G156" s="4">
        <f>IMAGE("https://raw.githubusercontent.com/leslita06/dreamcosmetics-maquette/main/photos/169.jpg")</f>
        <v/>
      </c>
      <c r="H156" s="4" t="inlineStr">
        <is>
          <t>http://dreamcosmetics.net/fr/product/visage-et-corps/s%C3%A9rum/clear-therapy-s%C3%A9rum-clarifiant-huile-de-carotte</t>
        </is>
      </c>
      <c r="I156" s="4" t="inlineStr">
        <is>
          <t>Site Dream Cosmetics</t>
        </is>
      </c>
      <c r="J156" s="4" t="inlineStr"/>
    </row>
    <row r="157" ht="70" customHeight="1">
      <c r="A157" s="4" t="inlineStr">
        <is>
          <t>Clear Therapy</t>
        </is>
      </c>
      <c r="B157" s="4" t="inlineStr"/>
      <c r="C157" s="4" t="inlineStr">
        <is>
          <t>Clear therapyl lait clarifiant aux extraits végétaux</t>
        </is>
      </c>
      <c r="D157" s="4" t="inlineStr">
        <is>
          <t>Visage et corps</t>
        </is>
      </c>
      <c r="E157" s="4" t="inlineStr">
        <is>
          <t>Lait</t>
        </is>
      </c>
      <c r="F157" s="4" t="inlineStr">
        <is>
          <t>250 - 500 ml</t>
        </is>
      </c>
      <c r="G157" s="4">
        <f>IMAGE("https://raw.githubusercontent.com/leslita06/dreamcosmetics-maquette/main/photos/162.jpg")</f>
        <v/>
      </c>
      <c r="H157" s="4" t="inlineStr">
        <is>
          <t>http://dreamcosmetics.net/fr/product/visage-et-corps/lait/clear-therapyl-lait-clarifiant-aux-extraits-v%C3%A9g%C3%A9taux</t>
        </is>
      </c>
      <c r="I157" s="4" t="inlineStr">
        <is>
          <t>Site Dream Cosmetics</t>
        </is>
      </c>
      <c r="J157" s="4" t="inlineStr"/>
    </row>
    <row r="158" ht="70" customHeight="1">
      <c r="A158" s="4" t="inlineStr">
        <is>
          <t>Babymed</t>
        </is>
      </c>
      <c r="B158" s="4" t="inlineStr"/>
      <c r="C158" s="4" t="inlineStr">
        <is>
          <t>Babymed - eau de parfum</t>
        </is>
      </c>
      <c r="D158" s="4" t="inlineStr">
        <is>
          <t>Parfum</t>
        </is>
      </c>
      <c r="E158" s="4" t="inlineStr">
        <is>
          <t>Eau de parfum</t>
        </is>
      </c>
      <c r="F158" s="5" t="inlineStr">
        <is>
          <t>à confirmer</t>
        </is>
      </c>
      <c r="G158" s="4">
        <f>IMAGE("https://raw.githubusercontent.com/leslita06/dreamcosmetics-maquette/main/photos/540.jpg")</f>
        <v/>
      </c>
      <c r="H158" s="4" t="inlineStr">
        <is>
          <t>http://dreamcosmetics.net/fr/product/b%C3%A9b%C3%A9-enfants/eau-de-parfum/babymed-eau-de-parfum</t>
        </is>
      </c>
      <c r="I158" s="4" t="inlineStr">
        <is>
          <t>Site Dream Cosmetics</t>
        </is>
      </c>
      <c r="J158" s="4" t="inlineStr"/>
    </row>
    <row r="159" ht="70" customHeight="1">
      <c r="A159" s="4" t="inlineStr">
        <is>
          <t>Babymed</t>
        </is>
      </c>
      <c r="B159" s="4" t="inlineStr"/>
      <c r="C159" s="4" t="inlineStr">
        <is>
          <t>Babymed - Huile</t>
        </is>
      </c>
      <c r="D159" s="4" t="inlineStr">
        <is>
          <t>Bébé et enfant</t>
        </is>
      </c>
      <c r="E159" s="4" t="inlineStr">
        <is>
          <t>Huile</t>
        </is>
      </c>
      <c r="F159" s="5" t="inlineStr">
        <is>
          <t>à confirmer</t>
        </is>
      </c>
      <c r="G159" s="4">
        <f>IMAGE("https://raw.githubusercontent.com/leslita06/dreamcosmetics-maquette/main/photos/242.jpg")</f>
        <v/>
      </c>
      <c r="H159" s="4" t="inlineStr">
        <is>
          <t>http://dreamcosmetics.net/fr/product/visage-et-corps/huile/babymed-huile</t>
        </is>
      </c>
      <c r="I159" s="4" t="inlineStr">
        <is>
          <t>Site Dream Cosmetics</t>
        </is>
      </c>
      <c r="J159" s="4" t="inlineStr"/>
    </row>
    <row r="160" ht="70" customHeight="1">
      <c r="A160" s="4" t="inlineStr">
        <is>
          <t>Babymed</t>
        </is>
      </c>
      <c r="B160" s="4" t="inlineStr"/>
      <c r="C160" s="4" t="inlineStr">
        <is>
          <t>Babymed - Pommade</t>
        </is>
      </c>
      <c r="D160" s="4" t="inlineStr">
        <is>
          <t>Bébé et enfant</t>
        </is>
      </c>
      <c r="E160" s="4" t="inlineStr">
        <is>
          <t>Crème</t>
        </is>
      </c>
      <c r="F160" s="5" t="inlineStr">
        <is>
          <t>à confirmer</t>
        </is>
      </c>
      <c r="G160" s="4">
        <f>IMAGE("https://raw.githubusercontent.com/leslita06/dreamcosmetics-maquette/main/photos/243.jpg")</f>
        <v/>
      </c>
      <c r="H160" s="4" t="inlineStr">
        <is>
          <t>http://dreamcosmetics.net/fr/product/visage-et-corps/cr%C3%A8me/babymed-pommade</t>
        </is>
      </c>
      <c r="I160" s="4" t="inlineStr">
        <is>
          <t>Site Dream Cosmetics</t>
        </is>
      </c>
      <c r="J160" s="4" t="inlineStr"/>
    </row>
    <row r="161" ht="70" customHeight="1">
      <c r="A161" s="4" t="inlineStr">
        <is>
          <t>Babymed</t>
        </is>
      </c>
      <c r="B161" s="4" t="inlineStr"/>
      <c r="C161" s="4" t="inlineStr">
        <is>
          <t>Babymed - vanity</t>
        </is>
      </c>
      <c r="D161" s="4" t="inlineStr">
        <is>
          <t>Bébé et enfant</t>
        </is>
      </c>
      <c r="E161" s="4" t="inlineStr">
        <is>
          <t>Coffret</t>
        </is>
      </c>
      <c r="F161" s="5" t="inlineStr">
        <is>
          <t>à confirmer</t>
        </is>
      </c>
      <c r="G161" s="4">
        <f>IMAGE("https://raw.githubusercontent.com/leslita06/dreamcosmetics-maquette/main/photos/293.jpg")</f>
        <v/>
      </c>
      <c r="H161" s="4" t="inlineStr">
        <is>
          <t>http://dreamcosmetics.net/fr/product/visage-et-corps/coffret/babymed-vanity</t>
        </is>
      </c>
      <c r="I161" s="4" t="inlineStr">
        <is>
          <t>Site Dream Cosmetics</t>
        </is>
      </c>
      <c r="J161" s="4" t="inlineStr"/>
    </row>
    <row r="162" ht="70" customHeight="1">
      <c r="A162" s="4" t="inlineStr">
        <is>
          <t>Babymed</t>
        </is>
      </c>
      <c r="B162" s="4" t="inlineStr"/>
      <c r="C162" s="4" t="inlineStr">
        <is>
          <t>Babymed beurre Nourrissant</t>
        </is>
      </c>
      <c r="D162" s="4" t="inlineStr">
        <is>
          <t>Bébé et enfant</t>
        </is>
      </c>
      <c r="E162" s="4" t="inlineStr">
        <is>
          <t>Beurre</t>
        </is>
      </c>
      <c r="F162" s="5" t="inlineStr">
        <is>
          <t>à confirmer</t>
        </is>
      </c>
      <c r="G162" s="4">
        <f>IMAGE("https://raw.githubusercontent.com/leslita06/dreamcosmetics-maquette/main/photos/151.jpg")</f>
        <v/>
      </c>
      <c r="H162" s="4" t="inlineStr">
        <is>
          <t>http://dreamcosmetics.net/fr/product/b%C3%A9b%C3%A9-enfants/beurre/babymed-beurre-nourrissant</t>
        </is>
      </c>
      <c r="I162" s="4" t="inlineStr">
        <is>
          <t>Site Dream Cosmetics</t>
        </is>
      </c>
      <c r="J162" s="4" t="inlineStr"/>
    </row>
    <row r="163" ht="70" customHeight="1">
      <c r="A163" s="4" t="inlineStr">
        <is>
          <t>Babymed</t>
        </is>
      </c>
      <c r="B163" s="4" t="inlineStr"/>
      <c r="C163" s="4" t="inlineStr">
        <is>
          <t>Babymed Crème</t>
        </is>
      </c>
      <c r="D163" s="4" t="inlineStr">
        <is>
          <t>Bébé et enfant</t>
        </is>
      </c>
      <c r="E163" s="4" t="inlineStr">
        <is>
          <t>Crème</t>
        </is>
      </c>
      <c r="F163" s="5" t="inlineStr">
        <is>
          <t>à confirmer</t>
        </is>
      </c>
      <c r="G163" s="4">
        <f>IMAGE("https://raw.githubusercontent.com/leslita06/dreamcosmetics-maquette/main/photos/152.jpg")</f>
        <v/>
      </c>
      <c r="H163" s="4" t="inlineStr">
        <is>
          <t>http://dreamcosmetics.net/fr/product/b%C3%A9b%C3%A9-enfants/cr%C3%A8me/babymed-cr%C3%A8me</t>
        </is>
      </c>
      <c r="I163" s="4" t="inlineStr">
        <is>
          <t>Site Dream Cosmetics</t>
        </is>
      </c>
      <c r="J163" s="4" t="inlineStr"/>
    </row>
    <row r="164" ht="70" customHeight="1">
      <c r="A164" s="4" t="inlineStr">
        <is>
          <t>Babymed</t>
        </is>
      </c>
      <c r="B164" s="4" t="inlineStr"/>
      <c r="C164" s="4" t="inlineStr">
        <is>
          <t>Babymed EDC</t>
        </is>
      </c>
      <c r="D164" s="4" t="inlineStr">
        <is>
          <t>Parfum</t>
        </is>
      </c>
      <c r="E164" s="4" t="inlineStr">
        <is>
          <t>Eau de cologne</t>
        </is>
      </c>
      <c r="F164" s="5" t="inlineStr">
        <is>
          <t>à confirmer</t>
        </is>
      </c>
      <c r="G164" s="4">
        <f>IMAGE("https://raw.githubusercontent.com/leslita06/dreamcosmetics-maquette/main/photos/153.jpg")</f>
        <v/>
      </c>
      <c r="H164" s="4" t="inlineStr">
        <is>
          <t>http://dreamcosmetics.net/fr/product/b%C3%A9b%C3%A9-enfants/eau-de-cologne/babymed-edc</t>
        </is>
      </c>
      <c r="I164" s="4" t="inlineStr">
        <is>
          <t>Site Dream Cosmetics</t>
        </is>
      </c>
      <c r="J164" s="4" t="inlineStr"/>
    </row>
    <row r="165" ht="70" customHeight="1">
      <c r="A165" s="4" t="inlineStr">
        <is>
          <t>Babymed</t>
        </is>
      </c>
      <c r="B165" s="4" t="inlineStr"/>
      <c r="C165" s="4" t="inlineStr">
        <is>
          <t>Babymed Gel lavant</t>
        </is>
      </c>
      <c r="D165" s="4" t="inlineStr">
        <is>
          <t>Bébé et enfant</t>
        </is>
      </c>
      <c r="E165" s="4" t="inlineStr">
        <is>
          <t>Gel douche</t>
        </is>
      </c>
      <c r="F165" s="5" t="inlineStr">
        <is>
          <t>à confirmer</t>
        </is>
      </c>
      <c r="G165" s="4">
        <f>IMAGE("https://raw.githubusercontent.com/leslita06/dreamcosmetics-maquette/main/photos/154.jpg")</f>
        <v/>
      </c>
      <c r="H165" s="4" t="inlineStr">
        <is>
          <t>http://dreamcosmetics.net/fr/product/b%C3%A9b%C3%A9-enfants/gel-douche/babymed-gel-lavant</t>
        </is>
      </c>
      <c r="I165" s="4" t="inlineStr">
        <is>
          <t>Site Dream Cosmetics</t>
        </is>
      </c>
      <c r="J165" s="4" t="inlineStr"/>
    </row>
    <row r="166" ht="70" customHeight="1">
      <c r="A166" s="4" t="inlineStr">
        <is>
          <t>Babymed</t>
        </is>
      </c>
      <c r="B166" s="4" t="inlineStr"/>
      <c r="C166" s="4" t="inlineStr">
        <is>
          <t>Babymed Lait de toilette</t>
        </is>
      </c>
      <c r="D166" s="4" t="inlineStr">
        <is>
          <t>Bébé et enfant</t>
        </is>
      </c>
      <c r="E166" s="4" t="inlineStr">
        <is>
          <t>Lait</t>
        </is>
      </c>
      <c r="F166" s="5" t="inlineStr">
        <is>
          <t>à confirmer</t>
        </is>
      </c>
      <c r="G166" s="4">
        <f>IMAGE("https://raw.githubusercontent.com/leslita06/dreamcosmetics-maquette/main/photos/155.jpg")</f>
        <v/>
      </c>
      <c r="H166" s="4" t="inlineStr">
        <is>
          <t>http://dreamcosmetics.net/fr/product/b%C3%A9b%C3%A9-enfants/lait/babymed-lait-de-toilette</t>
        </is>
      </c>
      <c r="I166" s="4" t="inlineStr">
        <is>
          <t>Site Dream Cosmetics</t>
        </is>
      </c>
      <c r="J166" s="4" t="inlineStr"/>
    </row>
    <row r="167" ht="70" customHeight="1">
      <c r="A167" s="4" t="inlineStr">
        <is>
          <t>Babymed</t>
        </is>
      </c>
      <c r="B167" s="4" t="inlineStr"/>
      <c r="C167" s="4" t="inlineStr">
        <is>
          <t>Babymed Lingettes</t>
        </is>
      </c>
      <c r="D167" s="4" t="inlineStr">
        <is>
          <t>Bébé et enfant</t>
        </is>
      </c>
      <c r="E167" s="4" t="inlineStr">
        <is>
          <t>Lingette</t>
        </is>
      </c>
      <c r="F167" s="5" t="inlineStr">
        <is>
          <t>à confirmer</t>
        </is>
      </c>
      <c r="G167" s="4">
        <f>IMAGE("https://raw.githubusercontent.com/leslita06/dreamcosmetics-maquette/main/photos/313.jpg")</f>
        <v/>
      </c>
      <c r="H167" s="4" t="inlineStr">
        <is>
          <t>http://dreamcosmetics.net/fr/product/b%C3%A9b%C3%A9-enfants/lingette/babymed-lingettes</t>
        </is>
      </c>
      <c r="I167" s="4" t="inlineStr">
        <is>
          <t>Site Dream Cosmetics</t>
        </is>
      </c>
      <c r="J167" s="4" t="inlineStr"/>
    </row>
    <row r="168" ht="70" customHeight="1">
      <c r="A168" s="4" t="inlineStr">
        <is>
          <t>Babymed</t>
        </is>
      </c>
      <c r="B168" s="4" t="inlineStr"/>
      <c r="C168" s="4" t="inlineStr">
        <is>
          <t>Babymed Savon</t>
        </is>
      </c>
      <c r="D168" s="4" t="inlineStr">
        <is>
          <t>Bébé et enfant</t>
        </is>
      </c>
      <c r="E168" s="4" t="inlineStr">
        <is>
          <t>Savon</t>
        </is>
      </c>
      <c r="F168" s="5" t="inlineStr">
        <is>
          <t>à confirmer</t>
        </is>
      </c>
      <c r="G168" s="4">
        <f>IMAGE("https://raw.githubusercontent.com/leslita06/dreamcosmetics-maquette/main/photos/157.jpg")</f>
        <v/>
      </c>
      <c r="H168" s="4" t="inlineStr">
        <is>
          <t>http://dreamcosmetics.net/fr/product/b%C3%A9b%C3%A9-enfants/savon/babymed-savon</t>
        </is>
      </c>
      <c r="I168" s="4" t="inlineStr">
        <is>
          <t>Site Dream Cosmetics</t>
        </is>
      </c>
      <c r="J168" s="4" t="inlineStr"/>
    </row>
    <row r="169" ht="70" customHeight="1">
      <c r="A169" s="4" t="inlineStr">
        <is>
          <t>Babymed</t>
        </is>
      </c>
      <c r="B169" s="4" t="inlineStr"/>
      <c r="C169" s="4" t="inlineStr">
        <is>
          <t>Babymed talc protecteur</t>
        </is>
      </c>
      <c r="D169" s="4" t="inlineStr">
        <is>
          <t>Bébé et enfant</t>
        </is>
      </c>
      <c r="E169" s="4" t="inlineStr">
        <is>
          <t>Talc</t>
        </is>
      </c>
      <c r="F169" s="5" t="inlineStr">
        <is>
          <t>à confirmer</t>
        </is>
      </c>
      <c r="G169" s="4">
        <f>IMAGE("https://raw.githubusercontent.com/leslita06/dreamcosmetics-maquette/main/photos/158.jpg")</f>
        <v/>
      </c>
      <c r="H169" s="4" t="inlineStr">
        <is>
          <t>http://dreamcosmetics.net/fr/product/b%C3%A9b%C3%A9-enfants/talc/babymed-talc-protecteur</t>
        </is>
      </c>
      <c r="I169" s="4" t="inlineStr">
        <is>
          <t>Site Dream Cosmetics</t>
        </is>
      </c>
      <c r="J169" s="4" t="inlineStr"/>
    </row>
    <row r="170" ht="70" customHeight="1">
      <c r="A170" s="4" t="inlineStr">
        <is>
          <t>Dreamy</t>
        </is>
      </c>
      <c r="B170" s="4" t="inlineStr"/>
      <c r="C170" s="4" t="inlineStr">
        <is>
          <t>DREAMY</t>
        </is>
      </c>
      <c r="D170" s="4" t="inlineStr">
        <is>
          <t>Parfum</t>
        </is>
      </c>
      <c r="E170" s="4" t="inlineStr">
        <is>
          <t>Parfum</t>
        </is>
      </c>
      <c r="F170" s="5" t="inlineStr">
        <is>
          <t>à confirmer</t>
        </is>
      </c>
      <c r="G170" s="4">
        <f>IMAGE("https://raw.githubusercontent.com/leslita06/dreamcosmetics-maquette/main/photos/665.jpg")</f>
        <v/>
      </c>
      <c r="H170" s="4" t="inlineStr">
        <is>
          <t>http://dreamcosmetics.net/fr/product/parfum/parfum/dreamy-4</t>
        </is>
      </c>
      <c r="I170" s="4" t="inlineStr">
        <is>
          <t>Site Dream Cosmetics</t>
        </is>
      </c>
      <c r="J170" s="4" t="inlineStr"/>
    </row>
    <row r="171" ht="70" customHeight="1">
      <c r="A171" s="4" t="inlineStr">
        <is>
          <t>Dreamy</t>
        </is>
      </c>
      <c r="B171" s="4" t="inlineStr"/>
      <c r="C171" s="4" t="inlineStr">
        <is>
          <t>DREAMY</t>
        </is>
      </c>
      <c r="D171" s="4" t="inlineStr">
        <is>
          <t>Parfum</t>
        </is>
      </c>
      <c r="E171" s="4" t="inlineStr">
        <is>
          <t>Parfum</t>
        </is>
      </c>
      <c r="F171" s="5" t="inlineStr">
        <is>
          <t>à confirmer</t>
        </is>
      </c>
      <c r="G171" s="4">
        <f>IMAGE("https://raw.githubusercontent.com/leslita06/dreamcosmetics-maquette/main/photos/664.jpg")</f>
        <v/>
      </c>
      <c r="H171" s="4" t="inlineStr">
        <is>
          <t>http://dreamcosmetics.net/fr/product/parfum/parfum/dreamy-3</t>
        </is>
      </c>
      <c r="I171" s="4" t="inlineStr">
        <is>
          <t>Site Dream Cosmetics</t>
        </is>
      </c>
      <c r="J171" s="4" t="inlineStr"/>
    </row>
    <row r="172" ht="70" customHeight="1">
      <c r="A172" s="4" t="inlineStr">
        <is>
          <t>Dreamy</t>
        </is>
      </c>
      <c r="B172" s="4" t="inlineStr"/>
      <c r="C172" s="4" t="inlineStr">
        <is>
          <t>DREAMY</t>
        </is>
      </c>
      <c r="D172" s="4" t="inlineStr">
        <is>
          <t>Parfum</t>
        </is>
      </c>
      <c r="E172" s="4" t="inlineStr">
        <is>
          <t>Parfum</t>
        </is>
      </c>
      <c r="F172" s="5" t="inlineStr">
        <is>
          <t>à confirmer</t>
        </is>
      </c>
      <c r="G172" s="4">
        <f>IMAGE("https://raw.githubusercontent.com/leslita06/dreamcosmetics-maquette/main/photos/663.jpg")</f>
        <v/>
      </c>
      <c r="H172" s="4" t="inlineStr">
        <is>
          <t>http://dreamcosmetics.net/fr/product/parfum/parfum/dreamy-2</t>
        </is>
      </c>
      <c r="I172" s="4" t="inlineStr">
        <is>
          <t>Site Dream Cosmetics</t>
        </is>
      </c>
      <c r="J172" s="4" t="inlineStr"/>
    </row>
    <row r="173" ht="70" customHeight="1">
      <c r="A173" s="4" t="inlineStr">
        <is>
          <t>Dreamy</t>
        </is>
      </c>
      <c r="B173" s="4" t="inlineStr"/>
      <c r="C173" s="4" t="inlineStr">
        <is>
          <t>DREAMY</t>
        </is>
      </c>
      <c r="D173" s="4" t="inlineStr">
        <is>
          <t>Parfum</t>
        </is>
      </c>
      <c r="E173" s="4" t="inlineStr">
        <is>
          <t>Parfum</t>
        </is>
      </c>
      <c r="F173" s="5" t="inlineStr">
        <is>
          <t>à confirmer</t>
        </is>
      </c>
      <c r="G173" s="4">
        <f>IMAGE("https://raw.githubusercontent.com/leslita06/dreamcosmetics-maquette/main/photos/662.jpg")</f>
        <v/>
      </c>
      <c r="H173" s="4" t="inlineStr">
        <is>
          <t>http://dreamcosmetics.net/fr/product/parfum/parfum/dreamy-1</t>
        </is>
      </c>
      <c r="I173" s="4" t="inlineStr">
        <is>
          <t>Site Dream Cosmetics</t>
        </is>
      </c>
      <c r="J173" s="4" t="inlineStr"/>
    </row>
    <row r="174" ht="70" customHeight="1">
      <c r="A174" s="4" t="inlineStr">
        <is>
          <t>Dreamy</t>
        </is>
      </c>
      <c r="B174" s="4" t="inlineStr"/>
      <c r="C174" s="4" t="inlineStr">
        <is>
          <t>DREAMY</t>
        </is>
      </c>
      <c r="D174" s="4" t="inlineStr">
        <is>
          <t>Parfum</t>
        </is>
      </c>
      <c r="E174" s="4" t="inlineStr">
        <is>
          <t>Parfum</t>
        </is>
      </c>
      <c r="F174" s="5" t="inlineStr">
        <is>
          <t>à confirmer</t>
        </is>
      </c>
      <c r="G174" s="4">
        <f>IMAGE("https://raw.githubusercontent.com/leslita06/dreamcosmetics-maquette/main/photos/661.jpg")</f>
        <v/>
      </c>
      <c r="H174" s="4" t="inlineStr">
        <is>
          <t>http://dreamcosmetics.net/fr/product/parfum/parfum/dreamy-0</t>
        </is>
      </c>
      <c r="I174" s="4" t="inlineStr">
        <is>
          <t>Site Dream Cosmetics</t>
        </is>
      </c>
      <c r="J174" s="4" t="inlineStr"/>
    </row>
    <row r="175" ht="70" customHeight="1">
      <c r="A175" s="4" t="inlineStr">
        <is>
          <t>Dreamy</t>
        </is>
      </c>
      <c r="B175" s="4" t="inlineStr"/>
      <c r="C175" s="4" t="inlineStr">
        <is>
          <t>DREAMY</t>
        </is>
      </c>
      <c r="D175" s="4" t="inlineStr">
        <is>
          <t>Parfum</t>
        </is>
      </c>
      <c r="E175" s="4" t="inlineStr">
        <is>
          <t>Parfum</t>
        </is>
      </c>
      <c r="F175" s="5" t="inlineStr">
        <is>
          <t>à confirmer</t>
        </is>
      </c>
      <c r="G175" s="4">
        <f>IMAGE("https://raw.githubusercontent.com/leslita06/dreamcosmetics-maquette/main/photos/660.jpg")</f>
        <v/>
      </c>
      <c r="H175" s="4" t="inlineStr">
        <is>
          <t>http://dreamcosmetics.net/fr/product/parfum/parfum/dreamy</t>
        </is>
      </c>
      <c r="I175" s="4" t="inlineStr">
        <is>
          <t>Site Dream Cosmetics</t>
        </is>
      </c>
      <c r="J175" s="4" t="inlineStr"/>
    </row>
    <row r="176" ht="70" customHeight="1">
      <c r="A176" s="4" t="inlineStr">
        <is>
          <t>Sign</t>
        </is>
      </c>
      <c r="B176" s="4" t="inlineStr"/>
      <c r="C176" s="4" t="inlineStr">
        <is>
          <t>SIGN</t>
        </is>
      </c>
      <c r="D176" s="4" t="inlineStr">
        <is>
          <t>Parfum</t>
        </is>
      </c>
      <c r="E176" s="4" t="inlineStr">
        <is>
          <t>Parfum</t>
        </is>
      </c>
      <c r="F176" s="5" t="inlineStr">
        <is>
          <t>à confirmer</t>
        </is>
      </c>
      <c r="G176" s="4">
        <f>IMAGE("https://raw.githubusercontent.com/leslita06/dreamcosmetics-maquette/main/photos/656.jpg")</f>
        <v/>
      </c>
      <c r="H176" s="4" t="inlineStr">
        <is>
          <t>http://dreamcosmetics.net/fr/product/parfum/parfum/sign-4</t>
        </is>
      </c>
      <c r="I176" s="4" t="inlineStr">
        <is>
          <t>Site Dream Cosmetics</t>
        </is>
      </c>
      <c r="J176" s="4" t="inlineStr"/>
    </row>
    <row r="177" ht="70" customHeight="1">
      <c r="A177" s="4" t="inlineStr">
        <is>
          <t>Sign</t>
        </is>
      </c>
      <c r="B177" s="4" t="inlineStr"/>
      <c r="C177" s="4" t="inlineStr">
        <is>
          <t>SIGN</t>
        </is>
      </c>
      <c r="D177" s="4" t="inlineStr">
        <is>
          <t>Parfum</t>
        </is>
      </c>
      <c r="E177" s="4" t="inlineStr">
        <is>
          <t>Parfum</t>
        </is>
      </c>
      <c r="F177" s="5" t="inlineStr">
        <is>
          <t>à confirmer</t>
        </is>
      </c>
      <c r="G177" s="4">
        <f>IMAGE("https://raw.githubusercontent.com/leslita06/dreamcosmetics-maquette/main/photos/655.jpg")</f>
        <v/>
      </c>
      <c r="H177" s="4" t="inlineStr">
        <is>
          <t>http://dreamcosmetics.net/fr/product/parfum/parfum/sign-3</t>
        </is>
      </c>
      <c r="I177" s="4" t="inlineStr">
        <is>
          <t>Site Dream Cosmetics</t>
        </is>
      </c>
      <c r="J177" s="4" t="inlineStr"/>
    </row>
    <row r="178" ht="70" customHeight="1">
      <c r="A178" s="4" t="inlineStr">
        <is>
          <t>Sign</t>
        </is>
      </c>
      <c r="B178" s="4" t="inlineStr"/>
      <c r="C178" s="4" t="inlineStr">
        <is>
          <t>SIGN</t>
        </is>
      </c>
      <c r="D178" s="4" t="inlineStr">
        <is>
          <t>Parfum</t>
        </is>
      </c>
      <c r="E178" s="4" t="inlineStr">
        <is>
          <t>Parfum</t>
        </is>
      </c>
      <c r="F178" s="5" t="inlineStr">
        <is>
          <t>à confirmer</t>
        </is>
      </c>
      <c r="G178" s="4">
        <f>IMAGE("https://raw.githubusercontent.com/leslita06/dreamcosmetics-maquette/main/photos/654.jpg")</f>
        <v/>
      </c>
      <c r="H178" s="4" t="inlineStr">
        <is>
          <t>http://dreamcosmetics.net/fr/product/parfum/parfum/sign-2</t>
        </is>
      </c>
      <c r="I178" s="4" t="inlineStr">
        <is>
          <t>Site Dream Cosmetics</t>
        </is>
      </c>
      <c r="J178" s="4" t="inlineStr"/>
    </row>
    <row r="179" ht="70" customHeight="1">
      <c r="A179" s="4" t="inlineStr">
        <is>
          <t>Sign</t>
        </is>
      </c>
      <c r="B179" s="4" t="inlineStr"/>
      <c r="C179" s="4" t="inlineStr">
        <is>
          <t>SIGN</t>
        </is>
      </c>
      <c r="D179" s="4" t="inlineStr">
        <is>
          <t>Parfum</t>
        </is>
      </c>
      <c r="E179" s="4" t="inlineStr">
        <is>
          <t>Parfum</t>
        </is>
      </c>
      <c r="F179" s="5" t="inlineStr">
        <is>
          <t>à confirmer</t>
        </is>
      </c>
      <c r="G179" s="4">
        <f>IMAGE("https://raw.githubusercontent.com/leslita06/dreamcosmetics-maquette/main/photos/653.jpg")</f>
        <v/>
      </c>
      <c r="H179" s="4" t="inlineStr">
        <is>
          <t>http://dreamcosmetics.net/fr/product/parfum/parfum/sign-1</t>
        </is>
      </c>
      <c r="I179" s="4" t="inlineStr">
        <is>
          <t>Site Dream Cosmetics</t>
        </is>
      </c>
      <c r="J179" s="4" t="inlineStr"/>
    </row>
    <row r="180" ht="70" customHeight="1">
      <c r="A180" s="4" t="inlineStr">
        <is>
          <t>Sign</t>
        </is>
      </c>
      <c r="B180" s="4" t="inlineStr"/>
      <c r="C180" s="4" t="inlineStr">
        <is>
          <t>SIGN</t>
        </is>
      </c>
      <c r="D180" s="4" t="inlineStr">
        <is>
          <t>Parfum</t>
        </is>
      </c>
      <c r="E180" s="4" t="inlineStr">
        <is>
          <t>Parfum</t>
        </is>
      </c>
      <c r="F180" s="5" t="inlineStr">
        <is>
          <t>à confirmer</t>
        </is>
      </c>
      <c r="G180" s="4">
        <f>IMAGE("https://raw.githubusercontent.com/leslita06/dreamcosmetics-maquette/main/photos/652.jpg")</f>
        <v/>
      </c>
      <c r="H180" s="4" t="inlineStr">
        <is>
          <t>http://dreamcosmetics.net/fr/product/parfum/parfum/sign-0</t>
        </is>
      </c>
      <c r="I180" s="4" t="inlineStr">
        <is>
          <t>Site Dream Cosmetics</t>
        </is>
      </c>
      <c r="J180" s="4" t="inlineStr"/>
    </row>
    <row r="181" ht="70" customHeight="1">
      <c r="A181" s="4" t="inlineStr">
        <is>
          <t>Sign</t>
        </is>
      </c>
      <c r="B181" s="4" t="inlineStr"/>
      <c r="C181" s="4" t="inlineStr">
        <is>
          <t>SIGN</t>
        </is>
      </c>
      <c r="D181" s="4" t="inlineStr">
        <is>
          <t>Parfum</t>
        </is>
      </c>
      <c r="E181" s="4" t="inlineStr">
        <is>
          <t>Parfum</t>
        </is>
      </c>
      <c r="F181" s="5" t="inlineStr">
        <is>
          <t>à confirmer</t>
        </is>
      </c>
      <c r="G181" s="4">
        <f>IMAGE("https://raw.githubusercontent.com/leslita06/dreamcosmetics-maquette/main/photos/651.jpg")</f>
        <v/>
      </c>
      <c r="H181" s="4" t="inlineStr">
        <is>
          <t>http://dreamcosmetics.net/fr/product/parfum/parfum/sign</t>
        </is>
      </c>
      <c r="I181" s="4" t="inlineStr">
        <is>
          <t>Site Dream Cosmetics</t>
        </is>
      </c>
      <c r="J181" s="4" t="inlineStr"/>
    </row>
    <row r="182" ht="70" customHeight="1">
      <c r="A182" s="4" t="inlineStr">
        <is>
          <t>Slam</t>
        </is>
      </c>
      <c r="B182" s="4" t="inlineStr"/>
      <c r="C182" s="4" t="inlineStr">
        <is>
          <t>SLAM</t>
        </is>
      </c>
      <c r="D182" s="4" t="inlineStr">
        <is>
          <t>Parfum</t>
        </is>
      </c>
      <c r="E182" s="4" t="inlineStr">
        <is>
          <t>Eau de parfum</t>
        </is>
      </c>
      <c r="F182" s="5" t="inlineStr">
        <is>
          <t>à confirmer</t>
        </is>
      </c>
      <c r="G182" s="4">
        <f>IMAGE("https://raw.githubusercontent.com/leslita06/dreamcosmetics-maquette/main/photos/650.jpg")</f>
        <v/>
      </c>
      <c r="H182" s="4" t="inlineStr">
        <is>
          <t>http://dreamcosmetics.net/fr/product/parfum/eau-de-parfum/slam-3</t>
        </is>
      </c>
      <c r="I182" s="4" t="inlineStr">
        <is>
          <t>Site Dream Cosmetics</t>
        </is>
      </c>
      <c r="J182" s="4" t="inlineStr"/>
    </row>
    <row r="183" ht="70" customHeight="1">
      <c r="A183" s="4" t="inlineStr">
        <is>
          <t>Slam</t>
        </is>
      </c>
      <c r="B183" s="4" t="inlineStr"/>
      <c r="C183" s="4" t="inlineStr">
        <is>
          <t>SLAM</t>
        </is>
      </c>
      <c r="D183" s="4" t="inlineStr">
        <is>
          <t>Parfum</t>
        </is>
      </c>
      <c r="E183" s="4" t="inlineStr">
        <is>
          <t>Eau de parfum</t>
        </is>
      </c>
      <c r="F183" s="5" t="inlineStr">
        <is>
          <t>à confirmer</t>
        </is>
      </c>
      <c r="G183" s="4">
        <f>IMAGE("https://raw.githubusercontent.com/leslita06/dreamcosmetics-maquette/main/photos/649.jpg")</f>
        <v/>
      </c>
      <c r="H183" s="4" t="inlineStr">
        <is>
          <t>http://dreamcosmetics.net/fr/product/parfum/eau-de-parfum/slam-2</t>
        </is>
      </c>
      <c r="I183" s="4" t="inlineStr">
        <is>
          <t>Site Dream Cosmetics</t>
        </is>
      </c>
      <c r="J183" s="4" t="inlineStr"/>
    </row>
    <row r="184" ht="70" customHeight="1">
      <c r="A184" s="4" t="inlineStr">
        <is>
          <t>Slam</t>
        </is>
      </c>
      <c r="B184" s="4" t="inlineStr"/>
      <c r="C184" s="4" t="inlineStr">
        <is>
          <t>SLAM</t>
        </is>
      </c>
      <c r="D184" s="4" t="inlineStr">
        <is>
          <t>Parfum</t>
        </is>
      </c>
      <c r="E184" s="4" t="inlineStr">
        <is>
          <t>Eau de parfum</t>
        </is>
      </c>
      <c r="F184" s="5" t="inlineStr">
        <is>
          <t>à confirmer</t>
        </is>
      </c>
      <c r="G184" s="4">
        <f>IMAGE("https://raw.githubusercontent.com/leslita06/dreamcosmetics-maquette/main/photos/648.jpg")</f>
        <v/>
      </c>
      <c r="H184" s="4" t="inlineStr">
        <is>
          <t>http://dreamcosmetics.net/fr/product/parfum/eau-de-parfum/slam-1</t>
        </is>
      </c>
      <c r="I184" s="4" t="inlineStr">
        <is>
          <t>Site Dream Cosmetics</t>
        </is>
      </c>
      <c r="J184" s="4" t="inlineStr"/>
    </row>
    <row r="185" ht="70" customHeight="1">
      <c r="A185" s="4" t="inlineStr">
        <is>
          <t>Slam</t>
        </is>
      </c>
      <c r="B185" s="4" t="inlineStr"/>
      <c r="C185" s="4" t="inlineStr">
        <is>
          <t>SLAM</t>
        </is>
      </c>
      <c r="D185" s="4" t="inlineStr">
        <is>
          <t>Parfum</t>
        </is>
      </c>
      <c r="E185" s="4" t="inlineStr">
        <is>
          <t>Eau de parfum</t>
        </is>
      </c>
      <c r="F185" s="5" t="inlineStr">
        <is>
          <t>à confirmer</t>
        </is>
      </c>
      <c r="G185" s="4">
        <f>IMAGE("https://raw.githubusercontent.com/leslita06/dreamcosmetics-maquette/main/photos/647.jpg")</f>
        <v/>
      </c>
      <c r="H185" s="4" t="inlineStr">
        <is>
          <t>http://dreamcosmetics.net/fr/product/parfum/eau-de-parfum/slam-0</t>
        </is>
      </c>
      <c r="I185" s="4" t="inlineStr">
        <is>
          <t>Site Dream Cosmetics</t>
        </is>
      </c>
      <c r="J185" s="4" t="inlineStr"/>
    </row>
    <row r="186" ht="70" customHeight="1">
      <c r="A186" s="4" t="inlineStr">
        <is>
          <t>Slam</t>
        </is>
      </c>
      <c r="B186" s="4" t="inlineStr"/>
      <c r="C186" s="4" t="inlineStr">
        <is>
          <t>SLAM</t>
        </is>
      </c>
      <c r="D186" s="4" t="inlineStr">
        <is>
          <t>Parfum</t>
        </is>
      </c>
      <c r="E186" s="4" t="inlineStr">
        <is>
          <t>Eau de parfum</t>
        </is>
      </c>
      <c r="F186" s="5" t="inlineStr">
        <is>
          <t>à confirmer</t>
        </is>
      </c>
      <c r="G186" s="4">
        <f>IMAGE("https://raw.githubusercontent.com/leslita06/dreamcosmetics-maquette/main/photos/646.jpg")</f>
        <v/>
      </c>
      <c r="H186" s="4" t="inlineStr">
        <is>
          <t>http://dreamcosmetics.net/fr/product/parfum/eau-de-parfum/slam</t>
        </is>
      </c>
      <c r="I186" s="4" t="inlineStr">
        <is>
          <t>Site Dream Cosmetics</t>
        </is>
      </c>
      <c r="J186" s="4" t="inlineStr"/>
    </row>
    <row r="187" ht="70" customHeight="1">
      <c r="A187" s="4" t="inlineStr">
        <is>
          <t>I love</t>
        </is>
      </c>
      <c r="B187" s="4" t="inlineStr"/>
      <c r="C187" s="4" t="inlineStr">
        <is>
          <t>I Love Abidjan</t>
        </is>
      </c>
      <c r="D187" s="4" t="inlineStr">
        <is>
          <t>Parfum</t>
        </is>
      </c>
      <c r="E187" s="4" t="inlineStr">
        <is>
          <t>Eau de parfum</t>
        </is>
      </c>
      <c r="F187" s="5" t="inlineStr">
        <is>
          <t>à confirmer</t>
        </is>
      </c>
      <c r="G187" s="4">
        <f>IMAGE("https://raw.githubusercontent.com/leslita06/dreamcosmetics-maquette/main/photos/460.jpg")</f>
        <v/>
      </c>
      <c r="H187" s="4" t="inlineStr">
        <is>
          <t>http://dreamcosmetics.net/fr/product/parfum/eau-de-parfum/i-love-abidjan</t>
        </is>
      </c>
      <c r="I187" s="4" t="inlineStr">
        <is>
          <t>Site Dream Cosmetics</t>
        </is>
      </c>
      <c r="J187" s="4" t="inlineStr"/>
    </row>
    <row r="188" ht="70" customHeight="1">
      <c r="A188" s="4" t="inlineStr">
        <is>
          <t>I love</t>
        </is>
      </c>
      <c r="B188" s="4" t="inlineStr"/>
      <c r="C188" s="4" t="inlineStr">
        <is>
          <t>I Love Dakar</t>
        </is>
      </c>
      <c r="D188" s="4" t="inlineStr">
        <is>
          <t>Parfum</t>
        </is>
      </c>
      <c r="E188" s="4" t="inlineStr">
        <is>
          <t>Eau de parfum</t>
        </is>
      </c>
      <c r="F188" s="5" t="inlineStr">
        <is>
          <t>à confirmer</t>
        </is>
      </c>
      <c r="G188" s="4">
        <f>IMAGE("https://raw.githubusercontent.com/leslita06/dreamcosmetics-maquette/main/photos/455.jpg")</f>
        <v/>
      </c>
      <c r="H188" s="4" t="inlineStr">
        <is>
          <t>http://dreamcosmetics.net/fr/product/parfum/eau-de-parfum/i-love-dakar</t>
        </is>
      </c>
      <c r="I188" s="4" t="inlineStr">
        <is>
          <t>Site Dream Cosmetics</t>
        </is>
      </c>
      <c r="J188" s="4" t="inlineStr"/>
    </row>
    <row r="189" ht="70" customHeight="1">
      <c r="A189" s="4" t="inlineStr">
        <is>
          <t>I love</t>
        </is>
      </c>
      <c r="B189" s="4" t="inlineStr"/>
      <c r="C189" s="4" t="inlineStr">
        <is>
          <t>I Love Dubai</t>
        </is>
      </c>
      <c r="D189" s="4" t="inlineStr">
        <is>
          <t>Parfum</t>
        </is>
      </c>
      <c r="E189" s="4" t="inlineStr">
        <is>
          <t>Eau de parfum</t>
        </is>
      </c>
      <c r="F189" s="5" t="inlineStr">
        <is>
          <t>à confirmer</t>
        </is>
      </c>
      <c r="G189" s="4">
        <f>IMAGE("https://raw.githubusercontent.com/leslita06/dreamcosmetics-maquette/main/photos/454.jpg")</f>
        <v/>
      </c>
      <c r="H189" s="4" t="inlineStr">
        <is>
          <t>http://dreamcosmetics.net/fr/product/parfum/eau-de-parfum/i-love-dubai</t>
        </is>
      </c>
      <c r="I189" s="4" t="inlineStr">
        <is>
          <t>Site Dream Cosmetics</t>
        </is>
      </c>
      <c r="J189" s="4" t="inlineStr"/>
    </row>
    <row r="190" ht="70" customHeight="1">
      <c r="A190" s="4" t="inlineStr">
        <is>
          <t>I love</t>
        </is>
      </c>
      <c r="B190" s="4" t="inlineStr"/>
      <c r="C190" s="4" t="inlineStr">
        <is>
          <t>I Love Kinshasa</t>
        </is>
      </c>
      <c r="D190" s="4" t="inlineStr">
        <is>
          <t>Parfum</t>
        </is>
      </c>
      <c r="E190" s="4" t="inlineStr">
        <is>
          <t>Eau de parfum</t>
        </is>
      </c>
      <c r="F190" s="5" t="inlineStr">
        <is>
          <t>à confirmer</t>
        </is>
      </c>
      <c r="G190" s="4">
        <f>IMAGE("https://raw.githubusercontent.com/leslita06/dreamcosmetics-maquette/main/photos/459.jpg")</f>
        <v/>
      </c>
      <c r="H190" s="4" t="inlineStr">
        <is>
          <t>http://dreamcosmetics.net/fr/product/parfum/eau-de-parfum/i-love-kinshasa</t>
        </is>
      </c>
      <c r="I190" s="4" t="inlineStr">
        <is>
          <t>Site Dream Cosmetics</t>
        </is>
      </c>
      <c r="J190" s="4" t="inlineStr"/>
    </row>
    <row r="191" ht="70" customHeight="1">
      <c r="A191" s="4" t="inlineStr">
        <is>
          <t>I love</t>
        </is>
      </c>
      <c r="B191" s="4" t="inlineStr"/>
      <c r="C191" s="4" t="inlineStr">
        <is>
          <t>I Love London</t>
        </is>
      </c>
      <c r="D191" s="4" t="inlineStr">
        <is>
          <t>Parfum</t>
        </is>
      </c>
      <c r="E191" s="4" t="inlineStr">
        <is>
          <t>Eau de parfum</t>
        </is>
      </c>
      <c r="F191" s="5" t="inlineStr">
        <is>
          <t>à confirmer</t>
        </is>
      </c>
      <c r="G191" s="4">
        <f>IMAGE("https://raw.githubusercontent.com/leslita06/dreamcosmetics-maquette/main/photos/458.jpg")</f>
        <v/>
      </c>
      <c r="H191" s="4" t="inlineStr">
        <is>
          <t>http://dreamcosmetics.net/fr/product/parfum/eau-de-parfum/i-love-london</t>
        </is>
      </c>
      <c r="I191" s="4" t="inlineStr">
        <is>
          <t>Site Dream Cosmetics</t>
        </is>
      </c>
      <c r="J191" s="4" t="inlineStr"/>
    </row>
    <row r="192" ht="70" customHeight="1">
      <c r="A192" s="4" t="inlineStr">
        <is>
          <t>I love</t>
        </is>
      </c>
      <c r="B192" s="4" t="inlineStr"/>
      <c r="C192" s="4" t="inlineStr">
        <is>
          <t>I Love New York</t>
        </is>
      </c>
      <c r="D192" s="4" t="inlineStr">
        <is>
          <t>Parfum</t>
        </is>
      </c>
      <c r="E192" s="4" t="inlineStr">
        <is>
          <t>Eau de parfum</t>
        </is>
      </c>
      <c r="F192" s="5" t="inlineStr">
        <is>
          <t>à confirmer</t>
        </is>
      </c>
      <c r="G192" s="4">
        <f>IMAGE("https://raw.githubusercontent.com/leslita06/dreamcosmetics-maquette/main/photos/456.jpg")</f>
        <v/>
      </c>
      <c r="H192" s="4" t="inlineStr">
        <is>
          <t>http://dreamcosmetics.net/fr/product/parfum/eau-de-parfum/i-love-new-york</t>
        </is>
      </c>
      <c r="I192" s="4" t="inlineStr">
        <is>
          <t>Site Dream Cosmetics</t>
        </is>
      </c>
      <c r="J192" s="4" t="inlineStr"/>
    </row>
    <row r="193" ht="70" customHeight="1">
      <c r="A193" s="4" t="inlineStr">
        <is>
          <t>I love</t>
        </is>
      </c>
      <c r="B193" s="4" t="inlineStr"/>
      <c r="C193" s="4" t="inlineStr">
        <is>
          <t>I Love Paris</t>
        </is>
      </c>
      <c r="D193" s="4" t="inlineStr">
        <is>
          <t>Parfum</t>
        </is>
      </c>
      <c r="E193" s="4" t="inlineStr">
        <is>
          <t>Eau de parfum</t>
        </is>
      </c>
      <c r="F193" s="5" t="inlineStr">
        <is>
          <t>à confirmer</t>
        </is>
      </c>
      <c r="G193" s="4">
        <f>IMAGE("https://raw.githubusercontent.com/leslita06/dreamcosmetics-maquette/main/photos/457.jpg")</f>
        <v/>
      </c>
      <c r="H193" s="4" t="inlineStr">
        <is>
          <t>http://dreamcosmetics.net/fr/product/parfum/eau-de-parfum/i-love-paris</t>
        </is>
      </c>
      <c r="I193" s="4" t="inlineStr">
        <is>
          <t>Site Dream Cosmetics</t>
        </is>
      </c>
      <c r="J193" s="4" t="inlineStr"/>
    </row>
    <row r="194" ht="70" customHeight="1">
      <c r="A194" s="4" t="inlineStr">
        <is>
          <t>Al Nassib</t>
        </is>
      </c>
      <c r="B194" s="4" t="inlineStr"/>
      <c r="C194" s="4" t="inlineStr">
        <is>
          <t>AL NASSIB Adam</t>
        </is>
      </c>
      <c r="D194" s="4" t="inlineStr">
        <is>
          <t>Parfum</t>
        </is>
      </c>
      <c r="E194" s="4" t="inlineStr">
        <is>
          <t>Parfum</t>
        </is>
      </c>
      <c r="F194" s="5" t="inlineStr">
        <is>
          <t>à confirmer</t>
        </is>
      </c>
      <c r="G194" s="4">
        <f>IMAGE("https://raw.githubusercontent.com/leslita06/dreamcosmetics-maquette/main/photos/620.jpg")</f>
        <v/>
      </c>
      <c r="H194" s="4" t="inlineStr">
        <is>
          <t>http://dreamcosmetics.net/fr/product/parfum/parfum/al-nassib-adam</t>
        </is>
      </c>
      <c r="I194" s="4" t="inlineStr">
        <is>
          <t>Site Dream Cosmetics</t>
        </is>
      </c>
      <c r="J194" s="4" t="inlineStr"/>
    </row>
    <row r="195" ht="70" customHeight="1">
      <c r="A195" s="4" t="inlineStr">
        <is>
          <t>Al Nassib</t>
        </is>
      </c>
      <c r="B195" s="4" t="inlineStr"/>
      <c r="C195" s="4" t="inlineStr">
        <is>
          <t>AL NASSIB AMIR</t>
        </is>
      </c>
      <c r="D195" s="4" t="inlineStr">
        <is>
          <t>Parfum</t>
        </is>
      </c>
      <c r="E195" s="4" t="inlineStr">
        <is>
          <t>Parfum</t>
        </is>
      </c>
      <c r="F195" s="5" t="inlineStr">
        <is>
          <t>à confirmer</t>
        </is>
      </c>
      <c r="G195" s="4">
        <f>IMAGE("https://raw.githubusercontent.com/leslita06/dreamcosmetics-maquette/main/photos/619.jpg")</f>
        <v/>
      </c>
      <c r="H195" s="4" t="inlineStr">
        <is>
          <t>http://dreamcosmetics.net/fr/product/parfum/parfum/al-nassib-amir</t>
        </is>
      </c>
      <c r="I195" s="4" t="inlineStr">
        <is>
          <t>Site Dream Cosmetics</t>
        </is>
      </c>
      <c r="J195" s="4" t="inlineStr"/>
    </row>
    <row r="196" ht="70" customHeight="1">
      <c r="A196" s="4" t="inlineStr">
        <is>
          <t>Al Nassib</t>
        </is>
      </c>
      <c r="B196" s="4" t="inlineStr"/>
      <c r="C196" s="4" t="inlineStr">
        <is>
          <t>AL NASSIB AYA</t>
        </is>
      </c>
      <c r="D196" s="4" t="inlineStr">
        <is>
          <t>Parfum</t>
        </is>
      </c>
      <c r="E196" s="4" t="inlineStr">
        <is>
          <t>Parfum</t>
        </is>
      </c>
      <c r="F196" s="4" t="inlineStr">
        <is>
          <t>7 ml</t>
        </is>
      </c>
      <c r="G196" s="4">
        <f>IMAGE("https://raw.githubusercontent.com/leslita06/dreamcosmetics-maquette/main/photos/618.jpg")</f>
        <v/>
      </c>
      <c r="H196" s="4" t="inlineStr">
        <is>
          <t>http://dreamcosmetics.net/fr/product/parfum/parfum/al-nassib-aya</t>
        </is>
      </c>
      <c r="I196" s="4" t="inlineStr">
        <is>
          <t>Site Dream Cosmetics</t>
        </is>
      </c>
      <c r="J196" s="4" t="inlineStr"/>
    </row>
    <row r="197" ht="70" customHeight="1">
      <c r="A197" s="4" t="inlineStr">
        <is>
          <t>Al Nassib</t>
        </is>
      </c>
      <c r="B197" s="4" t="inlineStr"/>
      <c r="C197" s="4" t="inlineStr">
        <is>
          <t>AL NASSIB MIRAGE</t>
        </is>
      </c>
      <c r="D197" s="4" t="inlineStr">
        <is>
          <t>Parfum</t>
        </is>
      </c>
      <c r="E197" s="4" t="inlineStr">
        <is>
          <t>Parfum</t>
        </is>
      </c>
      <c r="F197" s="4" t="inlineStr">
        <is>
          <t>7 ml</t>
        </is>
      </c>
      <c r="G197" s="4">
        <f>IMAGE("https://raw.githubusercontent.com/leslita06/dreamcosmetics-maquette/main/photos/616.jpg")</f>
        <v/>
      </c>
      <c r="H197" s="4" t="inlineStr">
        <is>
          <t>http://dreamcosmetics.net/fr/product/parfum/parfum/al-nassib-mirage</t>
        </is>
      </c>
      <c r="I197" s="4" t="inlineStr">
        <is>
          <t>Site Dream Cosmetics</t>
        </is>
      </c>
      <c r="J197" s="4" t="inlineStr"/>
    </row>
    <row r="198" ht="70" customHeight="1">
      <c r="A198" s="4" t="inlineStr">
        <is>
          <t>Al Nassib</t>
        </is>
      </c>
      <c r="B198" s="4" t="inlineStr"/>
      <c r="C198" s="4" t="inlineStr">
        <is>
          <t>AL NASSIB SHAZA</t>
        </is>
      </c>
      <c r="D198" s="4" t="inlineStr">
        <is>
          <t>Parfum</t>
        </is>
      </c>
      <c r="E198" s="4" t="inlineStr">
        <is>
          <t>Parfum</t>
        </is>
      </c>
      <c r="F198" s="4" t="inlineStr">
        <is>
          <t>7 ml</t>
        </is>
      </c>
      <c r="G198" s="4">
        <f>IMAGE("https://raw.githubusercontent.com/leslita06/dreamcosmetics-maquette/main/photos/621.jpg")</f>
        <v/>
      </c>
      <c r="H198" s="4" t="inlineStr">
        <is>
          <t>http://dreamcosmetics.net/fr/product/parfum/parfum/al-nassib-shaza</t>
        </is>
      </c>
      <c r="I198" s="4" t="inlineStr">
        <is>
          <t>Site Dream Cosmetics</t>
        </is>
      </c>
      <c r="J198" s="4" t="inlineStr"/>
    </row>
    <row r="199" ht="70" customHeight="1">
      <c r="A199" s="4" t="inlineStr">
        <is>
          <t>Al Nassib</t>
        </is>
      </c>
      <c r="B199" s="4" t="inlineStr"/>
      <c r="C199" s="4" t="inlineStr">
        <is>
          <t>AL NASSIB TAHANI</t>
        </is>
      </c>
      <c r="D199" s="4" t="inlineStr">
        <is>
          <t>Parfum</t>
        </is>
      </c>
      <c r="E199" s="4" t="inlineStr">
        <is>
          <t>Parfum</t>
        </is>
      </c>
      <c r="F199" s="4" t="inlineStr">
        <is>
          <t>7 ml</t>
        </is>
      </c>
      <c r="G199" s="4">
        <f>IMAGE("https://raw.githubusercontent.com/leslita06/dreamcosmetics-maquette/main/photos/617.jpg")</f>
        <v/>
      </c>
      <c r="H199" s="4" t="inlineStr">
        <is>
          <t>http://dreamcosmetics.net/fr/product/parfum/parfum/al-nassib-tahani</t>
        </is>
      </c>
      <c r="I199" s="4" t="inlineStr">
        <is>
          <t>Site Dream Cosmetics</t>
        </is>
      </c>
      <c r="J199" s="4" t="inlineStr"/>
    </row>
    <row r="200" ht="70" customHeight="1">
      <c r="A200" s="4" t="inlineStr">
        <is>
          <t>Always young</t>
        </is>
      </c>
      <c r="B200" s="4" t="inlineStr"/>
      <c r="C200" s="4" t="inlineStr">
        <is>
          <t>Forever young - tube clarifiant</t>
        </is>
      </c>
      <c r="D200" s="4" t="inlineStr">
        <is>
          <t>Visage et corps</t>
        </is>
      </c>
      <c r="E200" s="4" t="inlineStr">
        <is>
          <t>Crème</t>
        </is>
      </c>
      <c r="F200" s="4" t="inlineStr">
        <is>
          <t>50 g</t>
        </is>
      </c>
      <c r="G200" s="4">
        <f>IMAGE("https://raw.githubusercontent.com/leslita06/dreamcosmetics-maquette/main/photos/289.jpg")</f>
        <v/>
      </c>
      <c r="H200" s="4" t="inlineStr">
        <is>
          <t>http://dreamcosmetics.net/fr/product/visage-et-corps/cr%C3%A8me/forever-young-tube-clarifiant</t>
        </is>
      </c>
      <c r="I200" s="4" t="inlineStr">
        <is>
          <t>Site Dream Cosmetics</t>
        </is>
      </c>
      <c r="J200" s="4" t="inlineStr"/>
    </row>
    <row r="201" ht="70" customHeight="1">
      <c r="A201" s="4" t="inlineStr">
        <is>
          <t>Always young</t>
        </is>
      </c>
      <c r="B201" s="4" t="inlineStr"/>
      <c r="C201" s="4" t="inlineStr">
        <is>
          <t>Forever young creme 120ML</t>
        </is>
      </c>
      <c r="D201" s="4" t="inlineStr">
        <is>
          <t>Visage et corps</t>
        </is>
      </c>
      <c r="E201" s="4" t="inlineStr">
        <is>
          <t>Crème</t>
        </is>
      </c>
      <c r="F201" s="4" t="inlineStr">
        <is>
          <t>120 ml</t>
        </is>
      </c>
      <c r="G201" s="4">
        <f>IMAGE("https://raw.githubusercontent.com/leslita06/dreamcosmetics-maquette/main/photos/220.jpg")</f>
        <v/>
      </c>
      <c r="H201" s="4" t="inlineStr">
        <is>
          <t>http://dreamcosmetics.net/fr/product/visage-et-corps/cr%C3%A8me/forever-young-creme-120ml</t>
        </is>
      </c>
      <c r="I201" s="4" t="inlineStr">
        <is>
          <t>Site Dream Cosmetics</t>
        </is>
      </c>
      <c r="J201" s="4" t="inlineStr"/>
    </row>
    <row r="202" ht="70" customHeight="1">
      <c r="A202" s="4" t="inlineStr">
        <is>
          <t>Always young</t>
        </is>
      </c>
      <c r="B202" s="4" t="inlineStr"/>
      <c r="C202" s="4" t="inlineStr">
        <is>
          <t>Forever young creme 300 ML</t>
        </is>
      </c>
      <c r="D202" s="4" t="inlineStr">
        <is>
          <t>Visage et corps</t>
        </is>
      </c>
      <c r="E202" s="4" t="inlineStr">
        <is>
          <t>Crème</t>
        </is>
      </c>
      <c r="F202" s="5" t="inlineStr">
        <is>
          <t>à confirmer</t>
        </is>
      </c>
      <c r="G202" s="4">
        <f>IMAGE("https://raw.githubusercontent.com/leslita06/dreamcosmetics-maquette/main/photos/221.jpg")</f>
        <v/>
      </c>
      <c r="H202" s="4" t="inlineStr">
        <is>
          <t>http://dreamcosmetics.net/fr/product/visage-et-corps/cr%C3%A8me/forever-young-creme-300-ml</t>
        </is>
      </c>
      <c r="I202" s="4" t="inlineStr">
        <is>
          <t>Site Dream Cosmetics</t>
        </is>
      </c>
      <c r="J202" s="4" t="inlineStr"/>
    </row>
    <row r="203" ht="70" customHeight="1">
      <c r="A203" s="4" t="inlineStr">
        <is>
          <t>Always young</t>
        </is>
      </c>
      <c r="B203" s="4" t="inlineStr"/>
      <c r="C203" s="4" t="inlineStr">
        <is>
          <t>Forever young gel douche</t>
        </is>
      </c>
      <c r="D203" s="4" t="inlineStr">
        <is>
          <t>Corps (douche)</t>
        </is>
      </c>
      <c r="E203" s="4" t="inlineStr">
        <is>
          <t>Gel douche</t>
        </is>
      </c>
      <c r="F203" s="5" t="inlineStr">
        <is>
          <t>à confirmer</t>
        </is>
      </c>
      <c r="G203" s="4">
        <f>IMAGE("https://raw.githubusercontent.com/leslita06/dreamcosmetics-maquette/main/photos/223.jpg")</f>
        <v/>
      </c>
      <c r="H203" s="4" t="inlineStr">
        <is>
          <t>http://dreamcosmetics.net/fr/product/visage-et-corps/gel-douche/forever-young-gel-douche</t>
        </is>
      </c>
      <c r="I203" s="4" t="inlineStr">
        <is>
          <t>Site Dream Cosmetics</t>
        </is>
      </c>
      <c r="J203" s="4" t="inlineStr"/>
    </row>
    <row r="204" ht="70" customHeight="1">
      <c r="A204" s="4" t="inlineStr">
        <is>
          <t>Always young</t>
        </is>
      </c>
      <c r="B204" s="4" t="inlineStr"/>
      <c r="C204" s="4" t="inlineStr">
        <is>
          <t>Forever young Lait</t>
        </is>
      </c>
      <c r="D204" s="4" t="inlineStr">
        <is>
          <t>Visage et corps</t>
        </is>
      </c>
      <c r="E204" s="4" t="inlineStr">
        <is>
          <t>Lait</t>
        </is>
      </c>
      <c r="F204" s="4" t="inlineStr">
        <is>
          <t>250 ml</t>
        </is>
      </c>
      <c r="G204" s="4">
        <f>IMAGE("https://raw.githubusercontent.com/leslita06/dreamcosmetics-maquette/main/photos/222.jpg")</f>
        <v/>
      </c>
      <c r="H204" s="4" t="inlineStr">
        <is>
          <t>http://dreamcosmetics.net/fr/product/visage-et-corps/lait/forever-young-lait</t>
        </is>
      </c>
      <c r="I204" s="4" t="inlineStr">
        <is>
          <t>Site Dream Cosmetics</t>
        </is>
      </c>
      <c r="J204" s="4" t="inlineStr"/>
    </row>
    <row r="205" ht="70" customHeight="1">
      <c r="A205" s="4" t="inlineStr">
        <is>
          <t>Always young</t>
        </is>
      </c>
      <c r="B205" s="4" t="inlineStr"/>
      <c r="C205" s="4" t="inlineStr">
        <is>
          <t>forever young savon</t>
        </is>
      </c>
      <c r="D205" s="4" t="inlineStr">
        <is>
          <t>Savon</t>
        </is>
      </c>
      <c r="E205" s="4" t="inlineStr">
        <is>
          <t>Savon</t>
        </is>
      </c>
      <c r="F205" s="5" t="inlineStr">
        <is>
          <t>à confirmer</t>
        </is>
      </c>
      <c r="G205" s="4">
        <f>IMAGE("https://raw.githubusercontent.com/leslita06/dreamcosmetics-maquette/main/photos/224.jpg")</f>
        <v/>
      </c>
      <c r="H205" s="4" t="inlineStr">
        <is>
          <t>http://dreamcosmetics.net/fr/product/visage-et-corps/savon/forever-young-savon</t>
        </is>
      </c>
      <c r="I205" s="4" t="inlineStr">
        <is>
          <t>Site Dream Cosmetics</t>
        </is>
      </c>
      <c r="J205" s="4" t="inlineStr"/>
    </row>
    <row r="206" ht="70" customHeight="1">
      <c r="A206" s="4" t="inlineStr">
        <is>
          <t>Aqualis</t>
        </is>
      </c>
      <c r="B206" s="4" t="inlineStr"/>
      <c r="C206" s="4" t="inlineStr">
        <is>
          <t>Aqualis - gel douche cool menthol</t>
        </is>
      </c>
      <c r="D206" s="4" t="inlineStr">
        <is>
          <t>Hygiène et bain</t>
        </is>
      </c>
      <c r="E206" s="4" t="inlineStr">
        <is>
          <t>Gel douche</t>
        </is>
      </c>
      <c r="F206" s="4" t="inlineStr">
        <is>
          <t>2000 ml</t>
        </is>
      </c>
      <c r="G206" s="4">
        <f>IMAGE("https://raw.githubusercontent.com/leslita06/dreamcosmetics-maquette/main/photos/369.jpg")</f>
        <v/>
      </c>
      <c r="H206" s="4" t="inlineStr">
        <is>
          <t>http://dreamcosmetics.net/fr/product/hygi%C3%A8ne-et-bain/gel-douche/aqualis-gel-douche-cool-menthol</t>
        </is>
      </c>
      <c r="I206" s="4" t="inlineStr">
        <is>
          <t>Site Dream Cosmetics</t>
        </is>
      </c>
      <c r="J206" s="4" t="inlineStr"/>
    </row>
    <row r="207" ht="70" customHeight="1">
      <c r="A207" s="4" t="inlineStr">
        <is>
          <t>Aqualis</t>
        </is>
      </c>
      <c r="B207" s="4" t="inlineStr"/>
      <c r="C207" s="4" t="inlineStr">
        <is>
          <t>Aqualis - gel douche glycérine</t>
        </is>
      </c>
      <c r="D207" s="4" t="inlineStr">
        <is>
          <t>Hygiène et bain</t>
        </is>
      </c>
      <c r="E207" s="4" t="inlineStr">
        <is>
          <t>Gel douche</t>
        </is>
      </c>
      <c r="F207" s="4" t="inlineStr">
        <is>
          <t>2000 ml</t>
        </is>
      </c>
      <c r="G207" s="4">
        <f>IMAGE("https://raw.githubusercontent.com/leslita06/dreamcosmetics-maquette/main/photos/368.jpg")</f>
        <v/>
      </c>
      <c r="H207" s="4" t="inlineStr">
        <is>
          <t>http://dreamcosmetics.net/fr/product/hygi%C3%A8ne-et-bain/gel-douche/aqualis-gel-douche-glyc%C3%A9rine</t>
        </is>
      </c>
      <c r="I207" s="4" t="inlineStr">
        <is>
          <t>Site Dream Cosmetics</t>
        </is>
      </c>
      <c r="J207" s="4" t="inlineStr"/>
    </row>
    <row r="208" ht="70" customHeight="1">
      <c r="A208" s="4" t="inlineStr">
        <is>
          <t>Aqualis</t>
        </is>
      </c>
      <c r="B208" s="4" t="inlineStr"/>
      <c r="C208" s="4" t="inlineStr">
        <is>
          <t>Aqualis - gel douche karité</t>
        </is>
      </c>
      <c r="D208" s="4" t="inlineStr">
        <is>
          <t>Hygiène et bain</t>
        </is>
      </c>
      <c r="E208" s="4" t="inlineStr">
        <is>
          <t>Gel douche</t>
        </is>
      </c>
      <c r="F208" s="5" t="inlineStr">
        <is>
          <t>à confirmer</t>
        </is>
      </c>
      <c r="G208" s="4">
        <f>IMAGE("https://raw.githubusercontent.com/leslita06/dreamcosmetics-maquette/main/photos/365.jpg")</f>
        <v/>
      </c>
      <c r="H208" s="4" t="inlineStr">
        <is>
          <t>http://dreamcosmetics.net/fr/product/hygi%C3%A8ne-et-bain/gel-douche/aqualis-gel-douche-karit%C3%A9</t>
        </is>
      </c>
      <c r="I208" s="4" t="inlineStr">
        <is>
          <t>Site Dream Cosmetics</t>
        </is>
      </c>
      <c r="J208" s="4" t="inlineStr"/>
    </row>
    <row r="209" ht="70" customHeight="1">
      <c r="A209" s="4" t="inlineStr">
        <is>
          <t>Aqualis</t>
        </is>
      </c>
      <c r="B209" s="4" t="inlineStr"/>
      <c r="C209" s="4" t="inlineStr">
        <is>
          <t>aqualis - gel douche rose préciseuse</t>
        </is>
      </c>
      <c r="D209" s="4" t="inlineStr">
        <is>
          <t>Hygiène et bain</t>
        </is>
      </c>
      <c r="E209" s="4" t="inlineStr">
        <is>
          <t>Gel douche</t>
        </is>
      </c>
      <c r="F209" s="4" t="inlineStr">
        <is>
          <t>2000 ml</t>
        </is>
      </c>
      <c r="G209" s="4">
        <f>IMAGE("https://raw.githubusercontent.com/leslita06/dreamcosmetics-maquette/main/photos/366.jpg")</f>
        <v/>
      </c>
      <c r="H209" s="4" t="inlineStr">
        <is>
          <t>http://dreamcosmetics.net/fr/product/hygi%C3%A8ne-et-bain/gel-douche/aqualis-gel-douche-rose-pr%C3%A9ciseuse</t>
        </is>
      </c>
      <c r="I209" s="4" t="inlineStr">
        <is>
          <t>Site Dream Cosmetics</t>
        </is>
      </c>
      <c r="J209" s="4" t="inlineStr"/>
    </row>
    <row r="210" ht="70" customHeight="1">
      <c r="A210" s="4" t="inlineStr">
        <is>
          <t>Aqualis</t>
        </is>
      </c>
      <c r="B210" s="4" t="inlineStr"/>
      <c r="C210" s="4" t="inlineStr">
        <is>
          <t>Aqualis - savon de toilette abricot</t>
        </is>
      </c>
      <c r="D210" s="4" t="inlineStr">
        <is>
          <t>Savon</t>
        </is>
      </c>
      <c r="E210" s="4" t="inlineStr">
        <is>
          <t>Savon</t>
        </is>
      </c>
      <c r="F210" s="4" t="inlineStr">
        <is>
          <t>120 - 200 gr</t>
        </is>
      </c>
      <c r="G210" s="4">
        <f>IMAGE("https://raw.githubusercontent.com/leslita06/dreamcosmetics-maquette/main/photos/358.jpg")</f>
        <v/>
      </c>
      <c r="H210" s="4" t="inlineStr">
        <is>
          <t>http://dreamcosmetics.net/fr/product/hygi%C3%A8ne-et-bain/savon/aqualis-savon-de-toilette-abricot</t>
        </is>
      </c>
      <c r="I210" s="4" t="inlineStr">
        <is>
          <t>Site Dream Cosmetics</t>
        </is>
      </c>
      <c r="J210" s="4" t="inlineStr"/>
    </row>
    <row r="211" ht="70" customHeight="1">
      <c r="A211" s="4" t="inlineStr">
        <is>
          <t>Aqualis</t>
        </is>
      </c>
      <c r="B211" s="4" t="inlineStr"/>
      <c r="C211" s="4" t="inlineStr">
        <is>
          <t>Aqualis - SAVON DE TOILETTE DOUCEUR DE GLYCERINE</t>
        </is>
      </c>
      <c r="D211" s="4" t="inlineStr">
        <is>
          <t>Savon</t>
        </is>
      </c>
      <c r="E211" s="4" t="inlineStr">
        <is>
          <t>Savon</t>
        </is>
      </c>
      <c r="F211" s="4" t="inlineStr">
        <is>
          <t>120 - 200 gr</t>
        </is>
      </c>
      <c r="G211" s="4">
        <f>IMAGE("https://raw.githubusercontent.com/leslita06/dreamcosmetics-maquette/main/photos/355.jpg")</f>
        <v/>
      </c>
      <c r="H211" s="4" t="inlineStr">
        <is>
          <t>http://dreamcosmetics.net/fr/product/hygi%C3%A8ne-et-bain/savon/aqualis-savon-de-toilette-douceur-de-glycerine</t>
        </is>
      </c>
      <c r="I211" s="4" t="inlineStr">
        <is>
          <t>Site Dream Cosmetics</t>
        </is>
      </c>
      <c r="J211" s="4" t="inlineStr"/>
    </row>
    <row r="212" ht="70" customHeight="1">
      <c r="A212" s="4" t="inlineStr">
        <is>
          <t>Aqualis</t>
        </is>
      </c>
      <c r="B212" s="4" t="inlineStr"/>
      <c r="C212" s="4" t="inlineStr">
        <is>
          <t>Aqualis - savon de toilette karité</t>
        </is>
      </c>
      <c r="D212" s="4" t="inlineStr">
        <is>
          <t>Savon</t>
        </is>
      </c>
      <c r="E212" s="4" t="inlineStr">
        <is>
          <t>Savon</t>
        </is>
      </c>
      <c r="F212" s="4" t="inlineStr">
        <is>
          <t>120 - 200 gr</t>
        </is>
      </c>
      <c r="G212" s="4">
        <f>IMAGE("https://raw.githubusercontent.com/leslita06/dreamcosmetics-maquette/main/photos/356.jpg")</f>
        <v/>
      </c>
      <c r="H212" s="4" t="inlineStr">
        <is>
          <t>http://dreamcosmetics.net/fr/product/hygi%C3%A8ne-et-bain/savon/aqualis-savon-de-toilette-karit%C3%A9</t>
        </is>
      </c>
      <c r="I212" s="4" t="inlineStr">
        <is>
          <t>Site Dream Cosmetics</t>
        </is>
      </c>
      <c r="J212" s="4" t="inlineStr"/>
    </row>
    <row r="213" ht="70" customHeight="1">
      <c r="A213" s="4" t="inlineStr">
        <is>
          <t>Aqualis</t>
        </is>
      </c>
      <c r="B213" s="4" t="inlineStr"/>
      <c r="C213" s="4" t="inlineStr">
        <is>
          <t>aqualis - savon men</t>
        </is>
      </c>
      <c r="D213" s="4" t="inlineStr">
        <is>
          <t>Savon</t>
        </is>
      </c>
      <c r="E213" s="4" t="inlineStr">
        <is>
          <t>Savon</t>
        </is>
      </c>
      <c r="F213" s="4" t="inlineStr">
        <is>
          <t>120 - 200 gr</t>
        </is>
      </c>
      <c r="G213" s="4">
        <f>IMAGE("https://raw.githubusercontent.com/leslita06/dreamcosmetics-maquette/main/photos/363.jpg")</f>
        <v/>
      </c>
      <c r="H213" s="4" t="inlineStr">
        <is>
          <t>http://dreamcosmetics.net/fr/product/hygi%C3%A8ne-et-bain/savon/aqualis-savon-men</t>
        </is>
      </c>
      <c r="I213" s="4" t="inlineStr">
        <is>
          <t>Site Dream Cosmetics</t>
        </is>
      </c>
      <c r="J213" s="4" t="inlineStr"/>
    </row>
    <row r="214" ht="70" customHeight="1">
      <c r="A214" s="4" t="inlineStr">
        <is>
          <t>Aqualis</t>
        </is>
      </c>
      <c r="B214" s="4" t="inlineStr"/>
      <c r="C214" s="4" t="inlineStr">
        <is>
          <t>Aqualis Black</t>
        </is>
      </c>
      <c r="D214" s="4" t="inlineStr">
        <is>
          <t>Parfum</t>
        </is>
      </c>
      <c r="E214" s="4" t="inlineStr">
        <is>
          <t>Body mist</t>
        </is>
      </c>
      <c r="F214" s="4" t="inlineStr">
        <is>
          <t>100 ml</t>
        </is>
      </c>
      <c r="G214" s="4">
        <f>IMAGE("https://raw.githubusercontent.com/leslita06/dreamcosmetics-maquette/main/photos/86.jpg")</f>
        <v/>
      </c>
      <c r="H214" s="4" t="inlineStr">
        <is>
          <t>http://dreamcosmetics.net/fr/product/hygi%C3%A8ne-et-bain/body-mist/aqualis-black</t>
        </is>
      </c>
      <c r="I214" s="4" t="inlineStr">
        <is>
          <t>Site Dream Cosmetics</t>
        </is>
      </c>
      <c r="J214" s="4" t="inlineStr"/>
    </row>
    <row r="215" ht="70" customHeight="1">
      <c r="A215" s="4" t="inlineStr">
        <is>
          <t>Aqualis</t>
        </is>
      </c>
      <c r="B215" s="4" t="inlineStr"/>
      <c r="C215" s="4" t="inlineStr">
        <is>
          <t>Aqualis Blue</t>
        </is>
      </c>
      <c r="D215" s="4" t="inlineStr">
        <is>
          <t>Parfum</t>
        </is>
      </c>
      <c r="E215" s="4" t="inlineStr">
        <is>
          <t>Body mist</t>
        </is>
      </c>
      <c r="F215" s="4" t="inlineStr">
        <is>
          <t>100 ml</t>
        </is>
      </c>
      <c r="G215" s="4">
        <f>IMAGE("https://raw.githubusercontent.com/leslita06/dreamcosmetics-maquette/main/photos/87.jpg")</f>
        <v/>
      </c>
      <c r="H215" s="4" t="inlineStr">
        <is>
          <t>http://dreamcosmetics.net/fr/product/hygi%C3%A8ne-et-bain/body-mist/aqualis-blue</t>
        </is>
      </c>
      <c r="I215" s="4" t="inlineStr">
        <is>
          <t>Site Dream Cosmetics</t>
        </is>
      </c>
      <c r="J215" s="4" t="inlineStr"/>
    </row>
    <row r="216" ht="70" customHeight="1">
      <c r="A216" s="4" t="inlineStr">
        <is>
          <t>Aqualis</t>
        </is>
      </c>
      <c r="B216" s="4" t="inlineStr"/>
      <c r="C216" s="4" t="inlineStr">
        <is>
          <t>Aqualis gel douche carotte</t>
        </is>
      </c>
      <c r="D216" s="4" t="inlineStr">
        <is>
          <t>Hygiène et bain</t>
        </is>
      </c>
      <c r="E216" s="4" t="inlineStr">
        <is>
          <t>Gel douche</t>
        </is>
      </c>
      <c r="F216" s="5" t="inlineStr">
        <is>
          <t>à confirmer</t>
        </is>
      </c>
      <c r="G216" s="4">
        <f>IMAGE("https://raw.githubusercontent.com/leslita06/dreamcosmetics-maquette/main/photos/364.jpg")</f>
        <v/>
      </c>
      <c r="H216" s="4" t="inlineStr">
        <is>
          <t>http://dreamcosmetics.net/fr/product/hygi%C3%A8ne-et-bain/gel-douche/aqualis-gel-douche-carotte</t>
        </is>
      </c>
      <c r="I216" s="4" t="inlineStr">
        <is>
          <t>Site Dream Cosmetics</t>
        </is>
      </c>
      <c r="J216" s="4" t="inlineStr"/>
    </row>
    <row r="217" ht="70" customHeight="1">
      <c r="A217" s="4" t="inlineStr">
        <is>
          <t>Aqualis</t>
        </is>
      </c>
      <c r="B217" s="4" t="inlineStr"/>
      <c r="C217" s="4" t="inlineStr">
        <is>
          <t>Aqualis gel douche cool shower gel</t>
        </is>
      </c>
      <c r="D217" s="4" t="inlineStr">
        <is>
          <t>Hygiène et bain</t>
        </is>
      </c>
      <c r="E217" s="4" t="inlineStr">
        <is>
          <t>Gel douche</t>
        </is>
      </c>
      <c r="F217" s="4" t="inlineStr">
        <is>
          <t>2000 ml</t>
        </is>
      </c>
      <c r="G217" s="4">
        <f>IMAGE("https://raw.githubusercontent.com/leslita06/dreamcosmetics-maquette/main/photos/367.jpg")</f>
        <v/>
      </c>
      <c r="H217" s="4" t="inlineStr">
        <is>
          <t>http://dreamcosmetics.net/fr/product/hygi%C3%A8ne-et-bain/gel-douche/aqualis-gel-douche-cool-shower-gel</t>
        </is>
      </c>
      <c r="I217" s="4" t="inlineStr">
        <is>
          <t>Site Dream Cosmetics</t>
        </is>
      </c>
      <c r="J217" s="4" t="inlineStr"/>
    </row>
    <row r="218" ht="70" customHeight="1">
      <c r="A218" s="4" t="inlineStr">
        <is>
          <t>Aqualis</t>
        </is>
      </c>
      <c r="B218" s="4" t="inlineStr"/>
      <c r="C218" s="4" t="inlineStr">
        <is>
          <t>Aqualis Pink</t>
        </is>
      </c>
      <c r="D218" s="4" t="inlineStr">
        <is>
          <t>Parfum</t>
        </is>
      </c>
      <c r="E218" s="4" t="inlineStr">
        <is>
          <t>Body mist</t>
        </is>
      </c>
      <c r="F218" s="4" t="inlineStr">
        <is>
          <t>100 ml</t>
        </is>
      </c>
      <c r="G218" s="4">
        <f>IMAGE("https://raw.githubusercontent.com/leslita06/dreamcosmetics-maquette/main/photos/88.jpg")</f>
        <v/>
      </c>
      <c r="H218" s="4" t="inlineStr">
        <is>
          <t>http://dreamcosmetics.net/fr/product/hygi%C3%A8ne-et-bain/body-mist/aqualis-pink</t>
        </is>
      </c>
      <c r="I218" s="4" t="inlineStr">
        <is>
          <t>Site Dream Cosmetics</t>
        </is>
      </c>
      <c r="J218" s="4" t="inlineStr"/>
    </row>
    <row r="219" ht="70" customHeight="1">
      <c r="A219" s="4" t="inlineStr">
        <is>
          <t>Aqualis</t>
        </is>
      </c>
      <c r="B219" s="4" t="inlineStr"/>
      <c r="C219" s="4" t="inlineStr">
        <is>
          <t>aqualis savon de toilette 300 gr</t>
        </is>
      </c>
      <c r="D219" s="4" t="inlineStr">
        <is>
          <t>Savon</t>
        </is>
      </c>
      <c r="E219" s="4" t="inlineStr">
        <is>
          <t>Savon</t>
        </is>
      </c>
      <c r="F219" s="4" t="inlineStr">
        <is>
          <t>300 gr</t>
        </is>
      </c>
      <c r="G219" s="4">
        <f>IMAGE("https://raw.githubusercontent.com/leslita06/dreamcosmetics-maquette/main/photos/374.jpg")</f>
        <v/>
      </c>
      <c r="H219" s="4" t="inlineStr">
        <is>
          <t>http://dreamcosmetics.net/fr/product/hygi%C3%A8ne-et-bain/savon/aqualis-savon-de-toilette-300-gr</t>
        </is>
      </c>
      <c r="I219" s="4" t="inlineStr">
        <is>
          <t>Site Dream Cosmetics</t>
        </is>
      </c>
      <c r="J219" s="4" t="inlineStr"/>
    </row>
    <row r="220" ht="70" customHeight="1">
      <c r="A220" s="4" t="inlineStr">
        <is>
          <t>Aqualis</t>
        </is>
      </c>
      <c r="B220" s="4" t="inlineStr"/>
      <c r="C220" s="4" t="inlineStr">
        <is>
          <t>aqualis savon de toilette abricot 460 gr</t>
        </is>
      </c>
      <c r="D220" s="4" t="inlineStr">
        <is>
          <t>Savon</t>
        </is>
      </c>
      <c r="E220" s="4" t="inlineStr">
        <is>
          <t>Savon</t>
        </is>
      </c>
      <c r="F220" s="5" t="inlineStr">
        <is>
          <t>à confirmer</t>
        </is>
      </c>
      <c r="G220" s="4">
        <f>IMAGE("https://raw.githubusercontent.com/leslita06/dreamcosmetics-maquette/main/photos/375.jpg")</f>
        <v/>
      </c>
      <c r="H220" s="4" t="inlineStr">
        <is>
          <t>http://dreamcosmetics.net/fr/product/hygi%C3%A8ne-et-bain/savon/aqualis-savon-de-toilette-abricot-460-gr</t>
        </is>
      </c>
      <c r="I220" s="4" t="inlineStr">
        <is>
          <t>Site Dream Cosmetics</t>
        </is>
      </c>
      <c r="J220" s="4" t="inlineStr"/>
    </row>
    <row r="221" ht="70" customHeight="1">
      <c r="A221" s="4" t="inlineStr">
        <is>
          <t>Aqualis</t>
        </is>
      </c>
      <c r="B221" s="4" t="inlineStr"/>
      <c r="C221" s="4" t="inlineStr">
        <is>
          <t>Aqualis savon de toilette black</t>
        </is>
      </c>
      <c r="D221" s="4" t="inlineStr">
        <is>
          <t>Savon</t>
        </is>
      </c>
      <c r="E221" s="4" t="inlineStr">
        <is>
          <t>Savon</t>
        </is>
      </c>
      <c r="F221" s="4" t="inlineStr">
        <is>
          <t>120 - 200 gr</t>
        </is>
      </c>
      <c r="G221" s="4">
        <f>IMAGE("https://raw.githubusercontent.com/leslita06/dreamcosmetics-maquette/main/photos/357.jpg")</f>
        <v/>
      </c>
      <c r="H221" s="4" t="inlineStr">
        <is>
          <t>http://dreamcosmetics.net/fr/product/hygi%C3%A8ne-et-bain/savon/aqualis-savon-de-toilette-black</t>
        </is>
      </c>
      <c r="I221" s="4" t="inlineStr">
        <is>
          <t>Site Dream Cosmetics</t>
        </is>
      </c>
      <c r="J221" s="4" t="inlineStr"/>
    </row>
    <row r="222" ht="70" customHeight="1">
      <c r="A222" s="4" t="inlineStr">
        <is>
          <t>Aqualis</t>
        </is>
      </c>
      <c r="B222" s="4" t="inlineStr"/>
      <c r="C222" s="4" t="inlineStr">
        <is>
          <t>aqualis savon de toilette carotte</t>
        </is>
      </c>
      <c r="D222" s="4" t="inlineStr">
        <is>
          <t>Savon</t>
        </is>
      </c>
      <c r="E222" s="4" t="inlineStr">
        <is>
          <t>Savon</t>
        </is>
      </c>
      <c r="F222" s="5" t="inlineStr">
        <is>
          <t>à confirmer</t>
        </is>
      </c>
      <c r="G222" s="4">
        <f>IMAGE("https://raw.githubusercontent.com/leslita06/dreamcosmetics-maquette/main/photos/362.jpg")</f>
        <v/>
      </c>
      <c r="H222" s="4" t="inlineStr">
        <is>
          <t>http://dreamcosmetics.net/fr/product/hygi%C3%A8ne-et-bain/savon/aqualis-savon-de-toilette-carotte</t>
        </is>
      </c>
      <c r="I222" s="4" t="inlineStr">
        <is>
          <t>Site Dream Cosmetics</t>
        </is>
      </c>
      <c r="J222" s="4" t="inlineStr"/>
    </row>
    <row r="223" ht="70" customHeight="1">
      <c r="A223" s="4" t="inlineStr">
        <is>
          <t>Aqualis</t>
        </is>
      </c>
      <c r="B223" s="4" t="inlineStr"/>
      <c r="C223" s="4" t="inlineStr">
        <is>
          <t>Aqualis savon de toilette carotte</t>
        </is>
      </c>
      <c r="D223" s="4" t="inlineStr">
        <is>
          <t>Savon</t>
        </is>
      </c>
      <c r="E223" s="4" t="inlineStr">
        <is>
          <t>Savon</t>
        </is>
      </c>
      <c r="F223" s="4" t="inlineStr">
        <is>
          <t>300 gr</t>
        </is>
      </c>
      <c r="G223" s="4">
        <f>IMAGE("https://raw.githubusercontent.com/leslita06/dreamcosmetics-maquette/main/photos/370.jpg")</f>
        <v/>
      </c>
      <c r="H223" s="4" t="inlineStr">
        <is>
          <t>http://dreamcosmetics.net/fr/product/hygi%C3%A8ne-et-bain/savon/aqualis-savon-de-toilette-carotte-0</t>
        </is>
      </c>
      <c r="I223" s="4" t="inlineStr">
        <is>
          <t>Site Dream Cosmetics</t>
        </is>
      </c>
      <c r="J223" s="4" t="inlineStr"/>
    </row>
    <row r="224" ht="70" customHeight="1">
      <c r="A224" s="4" t="inlineStr">
        <is>
          <t>Aqualis</t>
        </is>
      </c>
      <c r="B224" s="4" t="inlineStr"/>
      <c r="C224" s="4" t="inlineStr">
        <is>
          <t>aqualis savon de toilette cool</t>
        </is>
      </c>
      <c r="D224" s="4" t="inlineStr">
        <is>
          <t>Savon</t>
        </is>
      </c>
      <c r="E224" s="4" t="inlineStr">
        <is>
          <t>Savon</t>
        </is>
      </c>
      <c r="F224" s="5" t="inlineStr">
        <is>
          <t>à confirmer</t>
        </is>
      </c>
      <c r="G224" s="4">
        <f>IMAGE("https://raw.githubusercontent.com/leslita06/dreamcosmetics-maquette/main/photos/360.jpg")</f>
        <v/>
      </c>
      <c r="H224" s="4" t="inlineStr">
        <is>
          <t>http://dreamcosmetics.net/fr/product/hygi%C3%A8ne-et-bain/savon/aqualis-savon-de-toilette-cool</t>
        </is>
      </c>
      <c r="I224" s="4" t="inlineStr">
        <is>
          <t>Site Dream Cosmetics</t>
        </is>
      </c>
      <c r="J224" s="4" t="inlineStr"/>
    </row>
    <row r="225" ht="70" customHeight="1">
      <c r="A225" s="4" t="inlineStr">
        <is>
          <t>Aqualis</t>
        </is>
      </c>
      <c r="B225" s="4" t="inlineStr"/>
      <c r="C225" s="4" t="inlineStr">
        <is>
          <t>Aqualis savon de toilette cool &amp; camphre</t>
        </is>
      </c>
      <c r="D225" s="4" t="inlineStr">
        <is>
          <t>Savon</t>
        </is>
      </c>
      <c r="E225" s="4" t="inlineStr">
        <is>
          <t>Savon</t>
        </is>
      </c>
      <c r="F225" s="4" t="inlineStr">
        <is>
          <t>120 - 200 gr</t>
        </is>
      </c>
      <c r="G225" s="4">
        <f>IMAGE("https://raw.githubusercontent.com/leslita06/dreamcosmetics-maquette/main/photos/359.jpg")</f>
        <v/>
      </c>
      <c r="H225" s="4" t="inlineStr">
        <is>
          <t>http://dreamcosmetics.net/fr/product/hygi%C3%A8ne-et-bain/savon/aqualis-savon-de-toilette-cool-camphre</t>
        </is>
      </c>
      <c r="I225" s="4" t="inlineStr">
        <is>
          <t>Site Dream Cosmetics</t>
        </is>
      </c>
      <c r="J225" s="4" t="inlineStr"/>
    </row>
    <row r="226" ht="70" customHeight="1">
      <c r="A226" s="4" t="inlineStr">
        <is>
          <t>Aqualis</t>
        </is>
      </c>
      <c r="B226" s="4" t="inlineStr"/>
      <c r="C226" s="4" t="inlineStr">
        <is>
          <t>Aqualis savon de toilette glycérine</t>
        </is>
      </c>
      <c r="D226" s="4" t="inlineStr">
        <is>
          <t>Savon</t>
        </is>
      </c>
      <c r="E226" s="4" t="inlineStr">
        <is>
          <t>Savon</t>
        </is>
      </c>
      <c r="F226" s="4" t="inlineStr">
        <is>
          <t>300 gr</t>
        </is>
      </c>
      <c r="G226" s="4">
        <f>IMAGE("https://raw.githubusercontent.com/leslita06/dreamcosmetics-maquette/main/photos/371.jpg")</f>
        <v/>
      </c>
      <c r="H226" s="4" t="inlineStr">
        <is>
          <t>http://dreamcosmetics.net/fr/product/hygi%C3%A8ne-et-bain/savon/aqualis-savon-de-toilette-glyc%C3%A9rine</t>
        </is>
      </c>
      <c r="I226" s="4" t="inlineStr">
        <is>
          <t>Site Dream Cosmetics</t>
        </is>
      </c>
      <c r="J226" s="4" t="inlineStr"/>
    </row>
    <row r="227" ht="70" customHeight="1">
      <c r="A227" s="4" t="inlineStr">
        <is>
          <t>Aqualis</t>
        </is>
      </c>
      <c r="B227" s="4" t="inlineStr"/>
      <c r="C227" s="4" t="inlineStr">
        <is>
          <t>aqualis savon de toilette glycérine 460gr</t>
        </is>
      </c>
      <c r="D227" s="4" t="inlineStr">
        <is>
          <t>Savon</t>
        </is>
      </c>
      <c r="E227" s="4" t="inlineStr">
        <is>
          <t>Savon</t>
        </is>
      </c>
      <c r="F227" s="4" t="inlineStr">
        <is>
          <t>460 gr</t>
        </is>
      </c>
      <c r="G227" s="4">
        <f>IMAGE("https://raw.githubusercontent.com/leslita06/dreamcosmetics-maquette/main/photos/373.jpg")</f>
        <v/>
      </c>
      <c r="H227" s="4" t="inlineStr">
        <is>
          <t>http://dreamcosmetics.net/fr/product/hygi%C3%A8ne-et-bain/savon/aqualis-savon-de-toilette-glyc%C3%A9rine-460gr</t>
        </is>
      </c>
      <c r="I227" s="4" t="inlineStr">
        <is>
          <t>Site Dream Cosmetics</t>
        </is>
      </c>
      <c r="J227" s="4" t="inlineStr"/>
    </row>
    <row r="228" ht="70" customHeight="1">
      <c r="A228" s="4" t="inlineStr">
        <is>
          <t>Aqualis</t>
        </is>
      </c>
      <c r="B228" s="4" t="inlineStr"/>
      <c r="C228" s="4" t="inlineStr">
        <is>
          <t>aqualis savon de toilette lait 300gr</t>
        </is>
      </c>
      <c r="D228" s="4" t="inlineStr">
        <is>
          <t>Savon</t>
        </is>
      </c>
      <c r="E228" s="4" t="inlineStr">
        <is>
          <t>Savon</t>
        </is>
      </c>
      <c r="F228" s="4" t="inlineStr">
        <is>
          <t>460 gr</t>
        </is>
      </c>
      <c r="G228" s="4">
        <f>IMAGE("https://raw.githubusercontent.com/leslita06/dreamcosmetics-maquette/main/photos/372.jpg")</f>
        <v/>
      </c>
      <c r="H228" s="4" t="inlineStr">
        <is>
          <t>http://dreamcosmetics.net/fr/product/hygi%C3%A8ne-et-bain/savon/aqualis-savon-de-toilette-lait-300gr</t>
        </is>
      </c>
      <c r="I228" s="4" t="inlineStr">
        <is>
          <t>Site Dream Cosmetics</t>
        </is>
      </c>
      <c r="J228" s="4" t="inlineStr"/>
    </row>
    <row r="229" ht="70" customHeight="1">
      <c r="A229" s="4" t="inlineStr">
        <is>
          <t>Aqualis</t>
        </is>
      </c>
      <c r="B229" s="4" t="inlineStr"/>
      <c r="C229" s="4" t="inlineStr">
        <is>
          <t>aqualis savon de toilette rose</t>
        </is>
      </c>
      <c r="D229" s="4" t="inlineStr">
        <is>
          <t>Savon</t>
        </is>
      </c>
      <c r="E229" s="4" t="inlineStr">
        <is>
          <t>Savon</t>
        </is>
      </c>
      <c r="F229" s="5" t="inlineStr">
        <is>
          <t>à confirmer</t>
        </is>
      </c>
      <c r="G229" s="4">
        <f>IMAGE("https://raw.githubusercontent.com/leslita06/dreamcosmetics-maquette/main/photos/361.jpg")</f>
        <v/>
      </c>
      <c r="H229" s="4" t="inlineStr">
        <is>
          <t>http://dreamcosmetics.net/fr/product/hygi%C3%A8ne-et-bain/savon/aqualis-savon-de-toilette-rose</t>
        </is>
      </c>
      <c r="I229" s="4" t="inlineStr">
        <is>
          <t>Site Dream Cosmetics</t>
        </is>
      </c>
      <c r="J229" s="4" t="inlineStr"/>
    </row>
    <row r="230" ht="70" customHeight="1">
      <c r="A230" s="4" t="inlineStr">
        <is>
          <t>Aqualis</t>
        </is>
      </c>
      <c r="B230" s="4" t="inlineStr"/>
      <c r="C230" s="4" t="inlineStr">
        <is>
          <t>Aqualis White</t>
        </is>
      </c>
      <c r="D230" s="4" t="inlineStr">
        <is>
          <t>Parfum</t>
        </is>
      </c>
      <c r="E230" s="4" t="inlineStr">
        <is>
          <t>Body mist</t>
        </is>
      </c>
      <c r="F230" s="5" t="inlineStr">
        <is>
          <t>à confirmer</t>
        </is>
      </c>
      <c r="G230" s="4">
        <f>IMAGE("https://raw.githubusercontent.com/leslita06/dreamcosmetics-maquette/main/photos/89.jpg")</f>
        <v/>
      </c>
      <c r="H230" s="4" t="inlineStr">
        <is>
          <t>http://dreamcosmetics.net/fr/product/hygi%C3%A8ne-et-bain/body-mist/aqualis-white</t>
        </is>
      </c>
      <c r="I230" s="4" t="inlineStr">
        <is>
          <t>Site Dream Cosmetics</t>
        </is>
      </c>
      <c r="J230" s="4" t="inlineStr"/>
    </row>
    <row r="231" ht="70" customHeight="1">
      <c r="A231" s="4" t="inlineStr">
        <is>
          <t>Babiya</t>
        </is>
      </c>
      <c r="B231" s="4" t="inlineStr"/>
      <c r="C231" s="4" t="inlineStr">
        <is>
          <t>Babiya - Eau de cologne</t>
        </is>
      </c>
      <c r="D231" s="4" t="inlineStr">
        <is>
          <t>Parfum</t>
        </is>
      </c>
      <c r="E231" s="4" t="inlineStr">
        <is>
          <t>Eau de cologne</t>
        </is>
      </c>
      <c r="F231" s="5" t="inlineStr">
        <is>
          <t>à confirmer</t>
        </is>
      </c>
      <c r="G231" s="4">
        <f>IMAGE("https://raw.githubusercontent.com/leslita06/dreamcosmetics-maquette/main/photos/277.jpg")</f>
        <v/>
      </c>
      <c r="H231" s="4" t="inlineStr">
        <is>
          <t>http://dreamcosmetics.net/fr/product/b%C3%A9b%C3%A9-enfants/eau-de-cologne/babiya-eau-de-cologne</t>
        </is>
      </c>
      <c r="I231" s="4" t="inlineStr">
        <is>
          <t>Site Dream Cosmetics</t>
        </is>
      </c>
      <c r="J231" s="4" t="inlineStr"/>
    </row>
    <row r="232" ht="70" customHeight="1">
      <c r="A232" s="4" t="inlineStr">
        <is>
          <t>Babiya</t>
        </is>
      </c>
      <c r="B232" s="4" t="inlineStr"/>
      <c r="C232" s="4" t="inlineStr">
        <is>
          <t>Babiya - gel douche</t>
        </is>
      </c>
      <c r="D232" s="4" t="inlineStr">
        <is>
          <t>Bébé et enfant</t>
        </is>
      </c>
      <c r="E232" s="4" t="inlineStr">
        <is>
          <t>Gel douche</t>
        </is>
      </c>
      <c r="F232" s="5" t="inlineStr">
        <is>
          <t>à confirmer</t>
        </is>
      </c>
      <c r="G232" s="4">
        <f>IMAGE("https://raw.githubusercontent.com/leslita06/dreamcosmetics-maquette/main/photos/278.jpg")</f>
        <v/>
      </c>
      <c r="H232" s="4" t="inlineStr">
        <is>
          <t>http://dreamcosmetics.net/fr/product/b%C3%A9b%C3%A9-enfants/gel-douche/babiya-gel-douche</t>
        </is>
      </c>
      <c r="I232" s="4" t="inlineStr">
        <is>
          <t>Site Dream Cosmetics</t>
        </is>
      </c>
      <c r="J232" s="4" t="inlineStr"/>
    </row>
    <row r="233" ht="70" customHeight="1">
      <c r="A233" s="4" t="inlineStr">
        <is>
          <t>Babiya</t>
        </is>
      </c>
      <c r="B233" s="4" t="inlineStr"/>
      <c r="C233" s="4" t="inlineStr">
        <is>
          <t>Babiya - Lait hydratant</t>
        </is>
      </c>
      <c r="D233" s="4" t="inlineStr">
        <is>
          <t>Bébé et enfant</t>
        </is>
      </c>
      <c r="E233" s="4" t="inlineStr">
        <is>
          <t>Lait</t>
        </is>
      </c>
      <c r="F233" s="5" t="inlineStr">
        <is>
          <t>à confirmer</t>
        </is>
      </c>
      <c r="G233" s="4">
        <f>IMAGE("https://raw.githubusercontent.com/leslita06/dreamcosmetics-maquette/main/photos/315.jpg")</f>
        <v/>
      </c>
      <c r="H233" s="4" t="inlineStr">
        <is>
          <t>http://dreamcosmetics.net/fr/product/b%C3%A9b%C3%A9-enfants/lait/babiya-lait-hydratant</t>
        </is>
      </c>
      <c r="I233" s="4" t="inlineStr">
        <is>
          <t>Site Dream Cosmetics</t>
        </is>
      </c>
      <c r="J233" s="4" t="inlineStr"/>
    </row>
    <row r="234" ht="70" customHeight="1">
      <c r="A234" s="4" t="inlineStr">
        <is>
          <t>Babiya</t>
        </is>
      </c>
      <c r="B234" s="4" t="inlineStr"/>
      <c r="C234" s="4" t="inlineStr">
        <is>
          <t>Babiya - lingettes</t>
        </is>
      </c>
      <c r="D234" s="4" t="inlineStr">
        <is>
          <t>Bébé et enfant</t>
        </is>
      </c>
      <c r="E234" s="4" t="inlineStr">
        <is>
          <t>Lingette</t>
        </is>
      </c>
      <c r="F234" s="5" t="inlineStr">
        <is>
          <t>à confirmer</t>
        </is>
      </c>
      <c r="G234" s="4">
        <f>IMAGE("https://raw.githubusercontent.com/leslita06/dreamcosmetics-maquette/main/photos/538.jpg")</f>
        <v/>
      </c>
      <c r="H234" s="4" t="inlineStr">
        <is>
          <t>http://dreamcosmetics.net/fr/product/b%C3%A9b%C3%A9-enfants/lingette/babiya-lingettes</t>
        </is>
      </c>
      <c r="I234" s="4" t="inlineStr">
        <is>
          <t>Site Dream Cosmetics</t>
        </is>
      </c>
      <c r="J234" s="4" t="inlineStr"/>
    </row>
    <row r="235" ht="70" customHeight="1">
      <c r="A235" s="4" t="inlineStr">
        <is>
          <t>Babiya</t>
        </is>
      </c>
      <c r="B235" s="4" t="inlineStr"/>
      <c r="C235" s="4" t="inlineStr">
        <is>
          <t>Babiya - pommade hydroprotectrice</t>
        </is>
      </c>
      <c r="D235" s="4" t="inlineStr">
        <is>
          <t>Bébé et enfant</t>
        </is>
      </c>
      <c r="E235" s="4" t="inlineStr">
        <is>
          <t>Crème</t>
        </is>
      </c>
      <c r="F235" s="5" t="inlineStr">
        <is>
          <t>à confirmer</t>
        </is>
      </c>
      <c r="G235" s="4">
        <f>IMAGE("https://raw.githubusercontent.com/leslita06/dreamcosmetics-maquette/main/photos/272.jpg")</f>
        <v/>
      </c>
      <c r="H235" s="4" t="inlineStr">
        <is>
          <t>http://dreamcosmetics.net/fr/product/b%C3%A9b%C3%A9-enfants/cr%C3%A8me/babiya-pommade-hydroprotectrice</t>
        </is>
      </c>
      <c r="I235" s="4" t="inlineStr">
        <is>
          <t>Site Dream Cosmetics</t>
        </is>
      </c>
      <c r="J235" s="4" t="inlineStr"/>
    </row>
    <row r="236" ht="70" customHeight="1">
      <c r="A236" s="4" t="inlineStr">
        <is>
          <t>Babiya</t>
        </is>
      </c>
      <c r="B236" s="4" t="inlineStr"/>
      <c r="C236" s="4" t="inlineStr">
        <is>
          <t>Babiya - sac</t>
        </is>
      </c>
      <c r="D236" s="4" t="inlineStr">
        <is>
          <t>Bébé et enfant</t>
        </is>
      </c>
      <c r="E236" s="4" t="inlineStr">
        <is>
          <t>Coffret</t>
        </is>
      </c>
      <c r="F236" s="5" t="inlineStr">
        <is>
          <t>à confirmer</t>
        </is>
      </c>
      <c r="G236" s="4">
        <f>IMAGE("https://raw.githubusercontent.com/leslita06/dreamcosmetics-maquette/main/photos/539.jpg")</f>
        <v/>
      </c>
      <c r="H236" s="4" t="inlineStr">
        <is>
          <t>http://dreamcosmetics.net/fr/product/b%C3%A9b%C3%A9-enfants/coffret/babiya-sac</t>
        </is>
      </c>
      <c r="I236" s="4" t="inlineStr">
        <is>
          <t>Site Dream Cosmetics</t>
        </is>
      </c>
      <c r="J236" s="4" t="inlineStr"/>
    </row>
    <row r="237" ht="70" customHeight="1">
      <c r="A237" s="4" t="inlineStr">
        <is>
          <t>Babiya</t>
        </is>
      </c>
      <c r="B237" s="4" t="inlineStr"/>
      <c r="C237" s="4" t="inlineStr">
        <is>
          <t>Babiya - savon</t>
        </is>
      </c>
      <c r="D237" s="4" t="inlineStr">
        <is>
          <t>Bébé et enfant</t>
        </is>
      </c>
      <c r="E237" s="4" t="inlineStr">
        <is>
          <t>Savon</t>
        </is>
      </c>
      <c r="F237" s="5" t="inlineStr">
        <is>
          <t>à confirmer</t>
        </is>
      </c>
      <c r="G237" s="4">
        <f>IMAGE("https://raw.githubusercontent.com/leslita06/dreamcosmetics-maquette/main/photos/273.jpg")</f>
        <v/>
      </c>
      <c r="H237" s="4" t="inlineStr">
        <is>
          <t>http://dreamcosmetics.net/fr/product/b%C3%A9b%C3%A9-enfants/savon/babiya-savon</t>
        </is>
      </c>
      <c r="I237" s="4" t="inlineStr">
        <is>
          <t>Site Dream Cosmetics</t>
        </is>
      </c>
      <c r="J237" s="4" t="inlineStr"/>
    </row>
    <row r="238" ht="70" customHeight="1">
      <c r="A238" s="4" t="inlineStr">
        <is>
          <t>Babiya</t>
        </is>
      </c>
      <c r="B238" s="4" t="inlineStr"/>
      <c r="C238" s="4" t="inlineStr">
        <is>
          <t>Babiya - talc parfume 200-400g</t>
        </is>
      </c>
      <c r="D238" s="4" t="inlineStr">
        <is>
          <t>Bébé et enfant</t>
        </is>
      </c>
      <c r="E238" s="4" t="inlineStr">
        <is>
          <t>Talc</t>
        </is>
      </c>
      <c r="F238" s="5" t="inlineStr">
        <is>
          <t>à confirmer</t>
        </is>
      </c>
      <c r="G238" s="4">
        <f>IMAGE("https://raw.githubusercontent.com/leslita06/dreamcosmetics-maquette/main/photos/274.jpg")</f>
        <v/>
      </c>
      <c r="H238" s="4" t="inlineStr">
        <is>
          <t>http://dreamcosmetics.net/fr/product/b%C3%A9b%C3%A9-enfants/talc/babiya-talc-parfume-200-400g</t>
        </is>
      </c>
      <c r="I238" s="4" t="inlineStr">
        <is>
          <t>Site Dream Cosmetics</t>
        </is>
      </c>
      <c r="J238" s="4" t="inlineStr"/>
    </row>
    <row r="239" ht="70" customHeight="1">
      <c r="A239" s="4" t="inlineStr">
        <is>
          <t>Babiya</t>
        </is>
      </c>
      <c r="B239" s="4" t="inlineStr"/>
      <c r="C239" s="4" t="inlineStr">
        <is>
          <t>Babiya - talc parfume 300g</t>
        </is>
      </c>
      <c r="D239" s="4" t="inlineStr">
        <is>
          <t>Bébé et enfant</t>
        </is>
      </c>
      <c r="E239" s="4" t="inlineStr">
        <is>
          <t>Talc</t>
        </is>
      </c>
      <c r="F239" s="5" t="inlineStr">
        <is>
          <t>à confirmer</t>
        </is>
      </c>
      <c r="G239" s="4">
        <f>IMAGE("https://raw.githubusercontent.com/leslita06/dreamcosmetics-maquette/main/photos/276.jpg")</f>
        <v/>
      </c>
      <c r="H239" s="4" t="inlineStr">
        <is>
          <t>http://dreamcosmetics.net/fr/product/b%C3%A9b%C3%A9-enfants/talc/babiya-talc-parfume-300g</t>
        </is>
      </c>
      <c r="I239" s="4" t="inlineStr">
        <is>
          <t>Site Dream Cosmetics</t>
        </is>
      </c>
      <c r="J239" s="4" t="inlineStr"/>
    </row>
    <row r="240" ht="70" customHeight="1">
      <c r="A240" s="4" t="inlineStr">
        <is>
          <t>Babiya</t>
        </is>
      </c>
      <c r="B240" s="4" t="inlineStr"/>
      <c r="C240" s="4" t="inlineStr">
        <is>
          <t>BABIYA eau de parfum</t>
        </is>
      </c>
      <c r="D240" s="4" t="inlineStr">
        <is>
          <t>Parfum</t>
        </is>
      </c>
      <c r="E240" s="4" t="inlineStr">
        <is>
          <t>Eau de parfum</t>
        </is>
      </c>
      <c r="F240" s="5" t="inlineStr">
        <is>
          <t>à confirmer</t>
        </is>
      </c>
      <c r="G240" s="4">
        <f>IMAGE("https://raw.githubusercontent.com/leslita06/dreamcosmetics-maquette/main/photos/563.jpg")</f>
        <v/>
      </c>
      <c r="H240" s="4" t="inlineStr">
        <is>
          <t>http://dreamcosmetics.net/fr/product/b%C3%A9b%C3%A9-enfants/eau-de-parfum/babiya-eau-de-parfum</t>
        </is>
      </c>
      <c r="I240" s="4" t="inlineStr">
        <is>
          <t>Site Dream Cosmetics</t>
        </is>
      </c>
      <c r="J240" s="4" t="inlineStr"/>
    </row>
    <row r="241" ht="70" customHeight="1">
      <c r="A241" s="4" t="inlineStr">
        <is>
          <t>Bactigel</t>
        </is>
      </c>
      <c r="B241" s="4" t="inlineStr"/>
      <c r="C241" s="4" t="inlineStr">
        <is>
          <t>Bactigel désinfectant surface &amp; sol</t>
        </is>
      </c>
      <c r="D241" s="4" t="inlineStr">
        <is>
          <t>Hygiène et bain</t>
        </is>
      </c>
      <c r="E241" s="4" t="inlineStr">
        <is>
          <t>Spray</t>
        </is>
      </c>
      <c r="F241" s="4" t="inlineStr">
        <is>
          <t>100 ml</t>
        </is>
      </c>
      <c r="G241" s="4">
        <f>IMAGE("https://raw.githubusercontent.com/leslita06/dreamcosmetics-maquette/main/photos/608.jpg")</f>
        <v/>
      </c>
      <c r="H241" s="4" t="inlineStr">
        <is>
          <t>http://dreamcosmetics.net/fr/product/hygi%C3%A8ne-et-bain/spray/bactigel-d%C3%A9sinfectant-surface-sol</t>
        </is>
      </c>
      <c r="I241" s="4" t="inlineStr">
        <is>
          <t>Site Dream Cosmetics</t>
        </is>
      </c>
      <c r="J241" s="4" t="inlineStr"/>
    </row>
    <row r="242" ht="70" customHeight="1">
      <c r="A242" s="4" t="inlineStr">
        <is>
          <t>Bactigel</t>
        </is>
      </c>
      <c r="B242" s="4" t="inlineStr"/>
      <c r="C242" s="4" t="inlineStr">
        <is>
          <t>Bactigel gel main actifresh 60</t>
        </is>
      </c>
      <c r="D242" s="4" t="inlineStr">
        <is>
          <t>Hygiène et bain</t>
        </is>
      </c>
      <c r="E242" s="4" t="inlineStr">
        <is>
          <t>Gel antibactérien</t>
        </is>
      </c>
      <c r="F242" s="4" t="inlineStr">
        <is>
          <t>60 ml</t>
        </is>
      </c>
      <c r="G242" s="4">
        <f>IMAGE("https://raw.githubusercontent.com/leslita06/dreamcosmetics-maquette/main/photos/393.jpg")</f>
        <v/>
      </c>
      <c r="H242" s="4" t="inlineStr">
        <is>
          <t>http://dreamcosmetics.net/fr/product/hygi%C3%A8ne-et-bain/gel-antibact%C3%A9rien/bactigel-gel-main-actifresh-60</t>
        </is>
      </c>
      <c r="I242" s="4" t="inlineStr">
        <is>
          <t>Site Dream Cosmetics</t>
        </is>
      </c>
      <c r="J242" s="4" t="inlineStr"/>
    </row>
    <row r="243" ht="70" customHeight="1">
      <c r="A243" s="4" t="inlineStr">
        <is>
          <t>Bactigel</t>
        </is>
      </c>
      <c r="B243" s="4" t="inlineStr"/>
      <c r="C243" s="4" t="inlineStr">
        <is>
          <t>Bactigel gel main antibactérien</t>
        </is>
      </c>
      <c r="D243" s="4" t="inlineStr">
        <is>
          <t>Hygiène et bain</t>
        </is>
      </c>
      <c r="E243" s="4" t="inlineStr">
        <is>
          <t>Gel antibactérien</t>
        </is>
      </c>
      <c r="F243" s="5" t="inlineStr">
        <is>
          <t>à confirmer</t>
        </is>
      </c>
      <c r="G243" s="4">
        <f>IMAGE("https://raw.githubusercontent.com/leslita06/dreamcosmetics-maquette/main/photos/394.jpg")</f>
        <v/>
      </c>
      <c r="H243" s="4" t="inlineStr">
        <is>
          <t>http://dreamcosmetics.net/fr/product/hygi%C3%A8ne-et-bain/gel-antibact%C3%A9rien/bactigel-gel-main-antibact%C3%A9rien</t>
        </is>
      </c>
      <c r="I243" s="4" t="inlineStr">
        <is>
          <t>Site Dream Cosmetics</t>
        </is>
      </c>
      <c r="J243" s="4" t="inlineStr"/>
    </row>
    <row r="244" ht="70" customHeight="1">
      <c r="A244" s="4" t="inlineStr">
        <is>
          <t>Bactigel</t>
        </is>
      </c>
      <c r="B244" s="4" t="inlineStr"/>
      <c r="C244" s="4" t="inlineStr">
        <is>
          <t>Bactigel gel main antibactérien</t>
        </is>
      </c>
      <c r="D244" s="4" t="inlineStr">
        <is>
          <t>Hygiène et bain</t>
        </is>
      </c>
      <c r="E244" s="4" t="inlineStr">
        <is>
          <t>Gel antibactérien</t>
        </is>
      </c>
      <c r="F244" s="4" t="inlineStr">
        <is>
          <t>2 L</t>
        </is>
      </c>
      <c r="G244" s="4">
        <f>IMAGE("https://raw.githubusercontent.com/leslita06/dreamcosmetics-maquette/main/photos/607.jpg")</f>
        <v/>
      </c>
      <c r="H244" s="4" t="inlineStr">
        <is>
          <t>http://dreamcosmetics.net/fr/product/hygi%C3%A8ne-et-bain/gel-antibact%C3%A9rien/bactigel-gel-main-antibact%C3%A9rien-0</t>
        </is>
      </c>
      <c r="I244" s="4" t="inlineStr">
        <is>
          <t>Site Dream Cosmetics</t>
        </is>
      </c>
      <c r="J244" s="4" t="inlineStr"/>
    </row>
    <row r="245" ht="70" customHeight="1">
      <c r="A245" s="4" t="inlineStr">
        <is>
          <t>Bactigel</t>
        </is>
      </c>
      <c r="B245" s="4" t="inlineStr"/>
      <c r="C245" s="4" t="inlineStr">
        <is>
          <t>Bactigel lingettes désinfectantes</t>
        </is>
      </c>
      <c r="D245" s="4" t="inlineStr">
        <is>
          <t>Hygiène et bain</t>
        </is>
      </c>
      <c r="E245" s="4" t="inlineStr">
        <is>
          <t>Lingette</t>
        </is>
      </c>
      <c r="F245" s="4" t="inlineStr">
        <is>
          <t>20 - 50</t>
        </is>
      </c>
      <c r="G245" s="4">
        <f>IMAGE("https://raw.githubusercontent.com/leslita06/dreamcosmetics-maquette/main/photos/598.jpg")</f>
        <v/>
      </c>
      <c r="H245" s="4" t="inlineStr">
        <is>
          <t>http://dreamcosmetics.net/fr/product/hygi%C3%A8ne-et-bain/lingette/bactigel-lingettes-d%C3%A9sinfectantes</t>
        </is>
      </c>
      <c r="I245" s="4" t="inlineStr">
        <is>
          <t>Site Dream Cosmetics</t>
        </is>
      </c>
      <c r="J245" s="4" t="inlineStr"/>
    </row>
    <row r="246" ht="70" customHeight="1">
      <c r="A246" s="4" t="inlineStr">
        <is>
          <t>Bactigel</t>
        </is>
      </c>
      <c r="B246" s="4" t="inlineStr"/>
      <c r="C246" s="4" t="inlineStr">
        <is>
          <t>Bactigel pink feeling 350</t>
        </is>
      </c>
      <c r="D246" s="4" t="inlineStr">
        <is>
          <t>Hygiène et bain</t>
        </is>
      </c>
      <c r="E246" s="4" t="inlineStr">
        <is>
          <t>Gel antibactérien</t>
        </is>
      </c>
      <c r="F246" s="4" t="inlineStr">
        <is>
          <t>350 ml</t>
        </is>
      </c>
      <c r="G246" s="4">
        <f>IMAGE("https://raw.githubusercontent.com/leslita06/dreamcosmetics-maquette/main/photos/396.jpg")</f>
        <v/>
      </c>
      <c r="H246" s="4" t="inlineStr">
        <is>
          <t>http://dreamcosmetics.net/fr/product/hygi%C3%A8ne-et-bain/gel-antibact%C3%A9rien/bactigel-pink-feeling-350</t>
        </is>
      </c>
      <c r="I246" s="4" t="inlineStr">
        <is>
          <t>Site Dream Cosmetics</t>
        </is>
      </c>
      <c r="J246" s="4" t="inlineStr"/>
    </row>
    <row r="247" ht="70" customHeight="1">
      <c r="A247" s="4" t="inlineStr">
        <is>
          <t>Bactigel</t>
        </is>
      </c>
      <c r="B247" s="4" t="inlineStr"/>
      <c r="C247" s="4" t="inlineStr">
        <is>
          <t>bactigel pink feeling 60</t>
        </is>
      </c>
      <c r="D247" s="4" t="inlineStr">
        <is>
          <t>Hygiène et bain</t>
        </is>
      </c>
      <c r="E247" s="4" t="inlineStr">
        <is>
          <t>Gel antibactérien</t>
        </is>
      </c>
      <c r="F247" s="5" t="inlineStr">
        <is>
          <t>à confirmer</t>
        </is>
      </c>
      <c r="G247" s="4">
        <f>IMAGE("https://raw.githubusercontent.com/leslita06/dreamcosmetics-maquette/main/photos/395.jpg")</f>
        <v/>
      </c>
      <c r="H247" s="4" t="inlineStr">
        <is>
          <t>http://dreamcosmetics.net/fr/product/hygi%C3%A8ne-et-bain/gel-antibact%C3%A9rien/bactigel-pink-feeling-60</t>
        </is>
      </c>
      <c r="I247" s="4" t="inlineStr">
        <is>
          <t>Site Dream Cosmetics</t>
        </is>
      </c>
      <c r="J247" s="4" t="inlineStr"/>
    </row>
    <row r="248" ht="70" customHeight="1">
      <c r="A248" s="4" t="inlineStr">
        <is>
          <t>Bactigel</t>
        </is>
      </c>
      <c r="B248" s="4" t="inlineStr"/>
      <c r="C248" s="4" t="inlineStr">
        <is>
          <t>Bactigel savon liquide mains désinfectant</t>
        </is>
      </c>
      <c r="D248" s="4" t="inlineStr">
        <is>
          <t>Savon</t>
        </is>
      </c>
      <c r="E248" s="4" t="inlineStr">
        <is>
          <t>Savon liquide</t>
        </is>
      </c>
      <c r="F248" s="4" t="inlineStr">
        <is>
          <t>500 - 1000 ml</t>
        </is>
      </c>
      <c r="G248" s="4">
        <f>IMAGE("https://raw.githubusercontent.com/leslita06/dreamcosmetics-maquette/main/photos/597.jpg")</f>
        <v/>
      </c>
      <c r="H248" s="4" t="inlineStr">
        <is>
          <t>http://dreamcosmetics.net/fr/product/hygi%C3%A8ne-et-bain/savon-liquide/bactigel-savon-liquide-mains-d%C3%A9sinfectant</t>
        </is>
      </c>
      <c r="I248" s="4" t="inlineStr">
        <is>
          <t>Site Dream Cosmetics</t>
        </is>
      </c>
      <c r="J248" s="4" t="inlineStr"/>
    </row>
    <row r="249" ht="70" customHeight="1">
      <c r="A249" s="4" t="inlineStr">
        <is>
          <t>Bactigel</t>
        </is>
      </c>
      <c r="B249" s="4" t="inlineStr"/>
      <c r="C249" s="4" t="inlineStr">
        <is>
          <t>Bactigel spray désinfectant</t>
        </is>
      </c>
      <c r="D249" s="4" t="inlineStr">
        <is>
          <t>Hygiène et bain</t>
        </is>
      </c>
      <c r="E249" s="4" t="inlineStr">
        <is>
          <t>Spray</t>
        </is>
      </c>
      <c r="F249" s="4" t="inlineStr">
        <is>
          <t>60 ml</t>
        </is>
      </c>
      <c r="G249" s="4">
        <f>IMAGE("https://raw.githubusercontent.com/leslita06/dreamcosmetics-maquette/main/photos/609.jpg")</f>
        <v/>
      </c>
      <c r="H249" s="4" t="inlineStr">
        <is>
          <t>http://dreamcosmetics.net/fr/product/hygi%C3%A8ne-et-bain/spray/bactigel-spray-d%C3%A9sinfectant</t>
        </is>
      </c>
      <c r="I249" s="4" t="inlineStr">
        <is>
          <t>Site Dream Cosmetics</t>
        </is>
      </c>
      <c r="J249" s="4" t="inlineStr"/>
    </row>
    <row r="250" ht="70" customHeight="1">
      <c r="A250" s="4" t="inlineStr">
        <is>
          <t>Bactigel</t>
        </is>
      </c>
      <c r="B250" s="4" t="inlineStr"/>
      <c r="C250" s="4" t="inlineStr">
        <is>
          <t>Bactigel spray désinfectant surface et sols</t>
        </is>
      </c>
      <c r="D250" s="4" t="inlineStr">
        <is>
          <t>Hygiène et bain</t>
        </is>
      </c>
      <c r="E250" s="4" t="inlineStr">
        <is>
          <t>Spray</t>
        </is>
      </c>
      <c r="F250" s="4" t="inlineStr">
        <is>
          <t>1000 ml</t>
        </is>
      </c>
      <c r="G250" s="4">
        <f>IMAGE("https://raw.githubusercontent.com/leslita06/dreamcosmetics-maquette/main/photos/596.jpg")</f>
        <v/>
      </c>
      <c r="H250" s="4" t="inlineStr">
        <is>
          <t>http://dreamcosmetics.net/fr/product/hygi%C3%A8ne-et-bain/spray/bactigel-spray-d%C3%A9sinfectant-surface-et-sols</t>
        </is>
      </c>
      <c r="I250" s="4" t="inlineStr">
        <is>
          <t>Site Dream Cosmetics</t>
        </is>
      </c>
      <c r="J250" s="4" t="inlineStr"/>
    </row>
    <row r="251" ht="70" customHeight="1">
      <c r="A251" s="4" t="inlineStr">
        <is>
          <t>Bactigel</t>
        </is>
      </c>
      <c r="B251" s="4" t="inlineStr"/>
      <c r="C251" s="4" t="inlineStr">
        <is>
          <t>bactigel sweet aloe 350</t>
        </is>
      </c>
      <c r="D251" s="4" t="inlineStr">
        <is>
          <t>Hygiène et bain</t>
        </is>
      </c>
      <c r="E251" s="4" t="inlineStr">
        <is>
          <t>Gel antibactérien</t>
        </is>
      </c>
      <c r="F251" s="4" t="inlineStr">
        <is>
          <t>350 ml</t>
        </is>
      </c>
      <c r="G251" s="4">
        <f>IMAGE("https://raw.githubusercontent.com/leslita06/dreamcosmetics-maquette/main/photos/398.jpg")</f>
        <v/>
      </c>
      <c r="H251" s="4" t="inlineStr">
        <is>
          <t>http://dreamcosmetics.net/fr/product/hygi%C3%A8ne-et-bain/gel-antibact%C3%A9rien/bactigel-sweet-aloe-350</t>
        </is>
      </c>
      <c r="I251" s="4" t="inlineStr">
        <is>
          <t>Site Dream Cosmetics</t>
        </is>
      </c>
      <c r="J251" s="4" t="inlineStr"/>
    </row>
    <row r="252" ht="70" customHeight="1">
      <c r="A252" s="4" t="inlineStr">
        <is>
          <t>Bactigel</t>
        </is>
      </c>
      <c r="B252" s="4" t="inlineStr"/>
      <c r="C252" s="4" t="inlineStr">
        <is>
          <t>Bactigel sweet aloe 60</t>
        </is>
      </c>
      <c r="D252" s="4" t="inlineStr">
        <is>
          <t>Hygiène et bain</t>
        </is>
      </c>
      <c r="E252" s="4" t="inlineStr">
        <is>
          <t>Gel antibactérien</t>
        </is>
      </c>
      <c r="F252" s="5" t="inlineStr">
        <is>
          <t>à confirmer</t>
        </is>
      </c>
      <c r="G252" s="4">
        <f>IMAGE("https://raw.githubusercontent.com/leslita06/dreamcosmetics-maquette/main/photos/397.jpg")</f>
        <v/>
      </c>
      <c r="H252" s="4" t="inlineStr">
        <is>
          <t>http://dreamcosmetics.net/fr/product/hygi%C3%A8ne-et-bain/gel-antibact%C3%A9rien/bactigel-sweet-aloe-60</t>
        </is>
      </c>
      <c r="I252" s="4" t="inlineStr">
        <is>
          <t>Site Dream Cosmetics</t>
        </is>
      </c>
      <c r="J252" s="4" t="inlineStr"/>
    </row>
    <row r="253" ht="70" customHeight="1">
      <c r="A253" s="4" t="inlineStr">
        <is>
          <t>Black star</t>
        </is>
      </c>
      <c r="B253" s="4" t="inlineStr"/>
      <c r="C253" s="4" t="inlineStr">
        <is>
          <t>BLACK STAR Gel coiffant</t>
        </is>
      </c>
      <c r="D253" s="4" t="inlineStr">
        <is>
          <t>Cheveux</t>
        </is>
      </c>
      <c r="E253" s="4" t="inlineStr">
        <is>
          <t>gel fixateur</t>
        </is>
      </c>
      <c r="F253" s="4" t="inlineStr">
        <is>
          <t>500-800 ml</t>
        </is>
      </c>
      <c r="G253" s="4">
        <f>IMAGE("https://raw.githubusercontent.com/leslita06/dreamcosmetics-maquette/main/photos/475.jpg")</f>
        <v/>
      </c>
      <c r="H253" s="4" t="inlineStr">
        <is>
          <t>http://dreamcosmetics.net/fr/product/hygi%C3%A8ne-et-bain/fixing-gel/black-star-gel-coiffant</t>
        </is>
      </c>
      <c r="I253" s="4" t="inlineStr">
        <is>
          <t>Site Dream Cosmetics</t>
        </is>
      </c>
      <c r="J253" s="4" t="inlineStr"/>
    </row>
    <row r="254" ht="70" customHeight="1">
      <c r="A254" s="4" t="inlineStr">
        <is>
          <t>Black star</t>
        </is>
      </c>
      <c r="B254" s="4" t="inlineStr"/>
      <c r="C254" s="4" t="inlineStr">
        <is>
          <t>BLACK STAR Gel fixant</t>
        </is>
      </c>
      <c r="D254" s="4" t="inlineStr">
        <is>
          <t>Cheveux</t>
        </is>
      </c>
      <c r="E254" s="4" t="inlineStr">
        <is>
          <t>gel fixateur</t>
        </is>
      </c>
      <c r="F254" s="5" t="inlineStr">
        <is>
          <t>à confirmer</t>
        </is>
      </c>
      <c r="G254" s="4">
        <f>IMAGE("https://raw.githubusercontent.com/leslita06/dreamcosmetics-maquette/main/photos/476.jpg")</f>
        <v/>
      </c>
      <c r="H254" s="4" t="inlineStr">
        <is>
          <t>http://dreamcosmetics.net/fr/product/hygi%C3%A8ne-et-bain/fixing-gel/black-star-gel-fixant</t>
        </is>
      </c>
      <c r="I254" s="4" t="inlineStr">
        <is>
          <t>Site Dream Cosmetics</t>
        </is>
      </c>
      <c r="J254" s="4" t="inlineStr"/>
    </row>
    <row r="255" ht="70" customHeight="1">
      <c r="A255" s="4" t="inlineStr">
        <is>
          <t>Black star</t>
        </is>
      </c>
      <c r="B255" s="4" t="inlineStr"/>
      <c r="C255" s="4" t="inlineStr">
        <is>
          <t>BLACK STAR Shampoing nourrissant auxprotéines d’œufs, huile de ricin et coco.</t>
        </is>
      </c>
      <c r="D255" s="4" t="inlineStr">
        <is>
          <t>Cheveux</t>
        </is>
      </c>
      <c r="E255" s="4" t="inlineStr">
        <is>
          <t>Shampoing</t>
        </is>
      </c>
      <c r="F255" s="5" t="inlineStr">
        <is>
          <t>à confirmer</t>
        </is>
      </c>
      <c r="G255" s="4">
        <f>IMAGE("https://raw.githubusercontent.com/leslita06/dreamcosmetics-maquette/main/photos/510.jpg")</f>
        <v/>
      </c>
      <c r="H255" s="4" t="inlineStr">
        <is>
          <t>http://dreamcosmetics.net/fr/product/hygi%C3%A8ne-et-bain/shampoing/black-star-shampoing-nourrissant-auxprot%C3%A9ines-d%E2%80%99%C5%93ufs-huile-de</t>
        </is>
      </c>
      <c r="I255" s="4" t="inlineStr">
        <is>
          <t>Site Dream Cosmetics</t>
        </is>
      </c>
      <c r="J255" s="4" t="inlineStr"/>
    </row>
    <row r="256" ht="70" customHeight="1">
      <c r="A256" s="4" t="inlineStr">
        <is>
          <t>Boa Family</t>
        </is>
      </c>
      <c r="B256" s="4" t="inlineStr"/>
      <c r="C256" s="4" t="inlineStr">
        <is>
          <t>BOA FAMILY Moisturizing Vaseline - Papaya</t>
        </is>
      </c>
      <c r="D256" s="4" t="inlineStr">
        <is>
          <t>Visage et corps</t>
        </is>
      </c>
      <c r="E256" s="4" t="inlineStr">
        <is>
          <t>Baume</t>
        </is>
      </c>
      <c r="F256" s="4" t="inlineStr">
        <is>
          <t>60 - 120 ml</t>
        </is>
      </c>
      <c r="G256" s="4">
        <f>IMAGE("https://raw.githubusercontent.com/leslita06/dreamcosmetics-maquette/main/photos/420.jpg")</f>
        <v/>
      </c>
      <c r="H256" s="4" t="inlineStr">
        <is>
          <t>http://dreamcosmetics.net/fr/product/visage-et-corps/baume/boa-family-moisturizing-vaseline-papaya</t>
        </is>
      </c>
      <c r="I256" s="4" t="inlineStr">
        <is>
          <t>Site Dream Cosmetics</t>
        </is>
      </c>
      <c r="J256" s="4" t="inlineStr"/>
    </row>
    <row r="257" ht="70" customHeight="1">
      <c r="A257" s="4" t="inlineStr">
        <is>
          <t>Boa Family</t>
        </is>
      </c>
      <c r="B257" s="4" t="inlineStr"/>
      <c r="C257" s="4" t="inlineStr">
        <is>
          <t>BOA FAMILY Vaseline hydratante aloe Vera</t>
        </is>
      </c>
      <c r="D257" s="4" t="inlineStr">
        <is>
          <t>Visage et corps</t>
        </is>
      </c>
      <c r="E257" s="4" t="inlineStr">
        <is>
          <t>Baume</t>
        </is>
      </c>
      <c r="F257" s="5" t="inlineStr">
        <is>
          <t>à confirmer</t>
        </is>
      </c>
      <c r="G257" s="4">
        <f>IMAGE("https://raw.githubusercontent.com/leslita06/dreamcosmetics-maquette/main/photos/422.jpg")</f>
        <v/>
      </c>
      <c r="H257" s="4" t="inlineStr">
        <is>
          <t>http://dreamcosmetics.net/fr/product/visage-et-corps/baume/boa-family-vaseline-hydratante-aloe-vera</t>
        </is>
      </c>
      <c r="I257" s="4" t="inlineStr">
        <is>
          <t>Site Dream Cosmetics</t>
        </is>
      </c>
      <c r="J257" s="4" t="inlineStr"/>
    </row>
    <row r="258" ht="70" customHeight="1">
      <c r="A258" s="4" t="inlineStr">
        <is>
          <t>Boa Family</t>
        </is>
      </c>
      <c r="B258" s="4" t="inlineStr"/>
      <c r="C258" s="4" t="inlineStr">
        <is>
          <t>BOA FAMILY vaseline hydratante carotte</t>
        </is>
      </c>
      <c r="D258" s="4" t="inlineStr">
        <is>
          <t>Visage et corps</t>
        </is>
      </c>
      <c r="E258" s="4" t="inlineStr">
        <is>
          <t>Baume</t>
        </is>
      </c>
      <c r="F258" s="4" t="inlineStr">
        <is>
          <t>60 - 120 ml</t>
        </is>
      </c>
      <c r="G258" s="4">
        <f>IMAGE("https://raw.githubusercontent.com/leslita06/dreamcosmetics-maquette/main/photos/419.jpg")</f>
        <v/>
      </c>
      <c r="H258" s="4" t="inlineStr">
        <is>
          <t>http://dreamcosmetics.net/fr/product/visage-et-corps/baume/boa-family-vaseline-hydratante-carotte</t>
        </is>
      </c>
      <c r="I258" s="4" t="inlineStr">
        <is>
          <t>Site Dream Cosmetics</t>
        </is>
      </c>
      <c r="J258" s="4" t="inlineStr"/>
    </row>
    <row r="259" ht="70" customHeight="1">
      <c r="A259" s="4" t="inlineStr">
        <is>
          <t>Boa Family</t>
        </is>
      </c>
      <c r="B259" s="4" t="inlineStr"/>
      <c r="C259" s="4" t="inlineStr">
        <is>
          <t>BOA FAMILY vaseline hydratante coco</t>
        </is>
      </c>
      <c r="D259" s="4" t="inlineStr">
        <is>
          <t>Visage et corps</t>
        </is>
      </c>
      <c r="E259" s="4" t="inlineStr">
        <is>
          <t>Baume</t>
        </is>
      </c>
      <c r="F259" s="5" t="inlineStr">
        <is>
          <t>à confirmer</t>
        </is>
      </c>
      <c r="G259" s="4">
        <f>IMAGE("https://raw.githubusercontent.com/leslita06/dreamcosmetics-maquette/main/photos/421.jpg")</f>
        <v/>
      </c>
      <c r="H259" s="4" t="inlineStr">
        <is>
          <t>http://dreamcosmetics.net/fr/product/visage-et-corps/baume/boa-family-vaseline-hydratante-coco</t>
        </is>
      </c>
      <c r="I259" s="4" t="inlineStr">
        <is>
          <t>Site Dream Cosmetics</t>
        </is>
      </c>
      <c r="J259" s="4" t="inlineStr"/>
    </row>
    <row r="260" ht="70" customHeight="1">
      <c r="A260" s="4" t="inlineStr">
        <is>
          <t>Boa Family</t>
        </is>
      </c>
      <c r="B260" s="4" t="inlineStr"/>
      <c r="C260" s="4" t="inlineStr">
        <is>
          <t>BOA FAMILY vaseline original</t>
        </is>
      </c>
      <c r="D260" s="4" t="inlineStr">
        <is>
          <t>Visage et corps</t>
        </is>
      </c>
      <c r="E260" s="4" t="inlineStr">
        <is>
          <t>Baume</t>
        </is>
      </c>
      <c r="F260" s="4" t="inlineStr">
        <is>
          <t>60 - 120 ml</t>
        </is>
      </c>
      <c r="G260" s="4">
        <f>IMAGE("https://raw.githubusercontent.com/leslita06/dreamcosmetics-maquette/main/photos/417.jpg")</f>
        <v/>
      </c>
      <c r="H260" s="4" t="inlineStr">
        <is>
          <t>http://dreamcosmetics.net/fr/product/visage-et-corps/baume/boa-family-vaseline-original</t>
        </is>
      </c>
      <c r="I260" s="4" t="inlineStr">
        <is>
          <t>Site Dream Cosmetics</t>
        </is>
      </c>
      <c r="J260" s="4" t="inlineStr"/>
    </row>
    <row r="261" ht="70" customHeight="1">
      <c r="A261" s="4" t="inlineStr">
        <is>
          <t>Boudchou</t>
        </is>
      </c>
      <c r="B261" s="4" t="inlineStr"/>
      <c r="C261" s="4" t="inlineStr">
        <is>
          <t>Boudchou - panier bleu</t>
        </is>
      </c>
      <c r="D261" s="4" t="inlineStr">
        <is>
          <t>Bébé et enfant</t>
        </is>
      </c>
      <c r="E261" s="4" t="inlineStr">
        <is>
          <t>Coffret</t>
        </is>
      </c>
      <c r="F261" s="5" t="inlineStr">
        <is>
          <t>à confirmer</t>
        </is>
      </c>
      <c r="G261" s="4">
        <f>IMAGE("https://raw.githubusercontent.com/leslita06/dreamcosmetics-maquette/main/photos/295.jpg")</f>
        <v/>
      </c>
      <c r="H261" s="4" t="inlineStr">
        <is>
          <t>http://dreamcosmetics.net/fr/product/b%C3%A9b%C3%A9-enfants/coffret/boudchou-panier-bleu</t>
        </is>
      </c>
      <c r="I261" s="4" t="inlineStr">
        <is>
          <t>Site Dream Cosmetics</t>
        </is>
      </c>
      <c r="J261" s="4" t="inlineStr"/>
    </row>
    <row r="262" ht="70" customHeight="1">
      <c r="A262" s="4" t="inlineStr">
        <is>
          <t>Boudchou</t>
        </is>
      </c>
      <c r="B262" s="4" t="inlineStr"/>
      <c r="C262" s="4" t="inlineStr">
        <is>
          <t>Boudchou - Panier Rose</t>
        </is>
      </c>
      <c r="D262" s="4" t="inlineStr">
        <is>
          <t>Bébé et enfant</t>
        </is>
      </c>
      <c r="E262" s="4" t="inlineStr">
        <is>
          <t>Coffret</t>
        </is>
      </c>
      <c r="F262" s="5" t="inlineStr">
        <is>
          <t>à confirmer</t>
        </is>
      </c>
      <c r="G262" s="4">
        <f>IMAGE("https://raw.githubusercontent.com/leslita06/dreamcosmetics-maquette/main/photos/294.jpg")</f>
        <v/>
      </c>
      <c r="H262" s="4" t="inlineStr">
        <is>
          <t>http://dreamcosmetics.net/fr/product/b%C3%A9b%C3%A9-enfants/coffret/boudchou-panier-rose</t>
        </is>
      </c>
      <c r="I262" s="4" t="inlineStr">
        <is>
          <t>Site Dream Cosmetics</t>
        </is>
      </c>
      <c r="J262" s="4" t="inlineStr"/>
    </row>
    <row r="263" ht="70" customHeight="1">
      <c r="A263" s="4" t="inlineStr">
        <is>
          <t>Boudchou</t>
        </is>
      </c>
      <c r="B263" s="4" t="inlineStr"/>
      <c r="C263" s="4" t="inlineStr">
        <is>
          <t>Boudchou eau de cologne fille</t>
        </is>
      </c>
      <c r="D263" s="4" t="inlineStr">
        <is>
          <t>Parfum</t>
        </is>
      </c>
      <c r="E263" s="4" t="inlineStr">
        <is>
          <t>Eau de cologne</t>
        </is>
      </c>
      <c r="F263" s="5" t="inlineStr">
        <is>
          <t>à confirmer</t>
        </is>
      </c>
      <c r="G263" s="4">
        <f>IMAGE("https://raw.githubusercontent.com/leslita06/dreamcosmetics-maquette/main/photos/206.jpg")</f>
        <v/>
      </c>
      <c r="H263" s="4" t="inlineStr">
        <is>
          <t>http://dreamcosmetics.net/fr/product/b%C3%A9b%C3%A9-enfants/eau-de-cologne/boudchou-eau-de-cologne-fille</t>
        </is>
      </c>
      <c r="I263" s="4" t="inlineStr">
        <is>
          <t>Site Dream Cosmetics</t>
        </is>
      </c>
      <c r="J263" s="4" t="inlineStr"/>
    </row>
    <row r="264" ht="70" customHeight="1">
      <c r="A264" s="4" t="inlineStr">
        <is>
          <t>Boudchou</t>
        </is>
      </c>
      <c r="B264" s="4" t="inlineStr"/>
      <c r="C264" s="4" t="inlineStr">
        <is>
          <t>Boudchou eau de cologne fille 500 ml</t>
        </is>
      </c>
      <c r="D264" s="4" t="inlineStr">
        <is>
          <t>Parfum</t>
        </is>
      </c>
      <c r="E264" s="4" t="inlineStr">
        <is>
          <t>Eau de cologne</t>
        </is>
      </c>
      <c r="F264" s="5" t="inlineStr">
        <is>
          <t>à confirmer</t>
        </is>
      </c>
      <c r="G264" s="4">
        <f>IMAGE("https://raw.githubusercontent.com/leslita06/dreamcosmetics-maquette/main/photos/207.jpg")</f>
        <v/>
      </c>
      <c r="H264" s="4" t="inlineStr">
        <is>
          <t>http://dreamcosmetics.net/fr/product/b%C3%A9b%C3%A9-enfants/eau-de-cologne/boudchou-eau-de-cologne-fille-500-ml</t>
        </is>
      </c>
      <c r="I264" s="4" t="inlineStr">
        <is>
          <t>Site Dream Cosmetics</t>
        </is>
      </c>
      <c r="J264" s="4" t="inlineStr"/>
    </row>
    <row r="265" ht="70" customHeight="1">
      <c r="A265" s="4" t="inlineStr">
        <is>
          <t>Boudchou</t>
        </is>
      </c>
      <c r="B265" s="4" t="inlineStr"/>
      <c r="C265" s="4" t="inlineStr">
        <is>
          <t>Boudchou Eau de cologne Garçon</t>
        </is>
      </c>
      <c r="D265" s="4" t="inlineStr">
        <is>
          <t>Parfum</t>
        </is>
      </c>
      <c r="E265" s="4" t="inlineStr">
        <is>
          <t>Eau de cologne</t>
        </is>
      </c>
      <c r="F265" s="5" t="inlineStr">
        <is>
          <t>à confirmer</t>
        </is>
      </c>
      <c r="G265" s="4">
        <f>IMAGE("https://raw.githubusercontent.com/leslita06/dreamcosmetics-maquette/main/photos/199.jpg")</f>
        <v/>
      </c>
      <c r="H265" s="4" t="inlineStr">
        <is>
          <t>http://dreamcosmetics.net/fr/product/b%C3%A9b%C3%A9-enfants/eau-de-cologne/boudchou-eau-de-cologne-gar%C3%A7on</t>
        </is>
      </c>
      <c r="I265" s="4" t="inlineStr">
        <is>
          <t>Site Dream Cosmetics</t>
        </is>
      </c>
      <c r="J265" s="4" t="inlineStr"/>
    </row>
    <row r="266" ht="70" customHeight="1">
      <c r="A266" s="4" t="inlineStr">
        <is>
          <t>Boudchou</t>
        </is>
      </c>
      <c r="B266" s="4" t="inlineStr"/>
      <c r="C266" s="4" t="inlineStr">
        <is>
          <t>Boudchou Eau de Cologne Garçon Grand Format</t>
        </is>
      </c>
      <c r="D266" s="4" t="inlineStr">
        <is>
          <t>Parfum</t>
        </is>
      </c>
      <c r="E266" s="4" t="inlineStr">
        <is>
          <t>Eau de cologne</t>
        </is>
      </c>
      <c r="F266" s="5" t="inlineStr">
        <is>
          <t>à confirmer</t>
        </is>
      </c>
      <c r="G266" s="4">
        <f>IMAGE("https://raw.githubusercontent.com/leslita06/dreamcosmetics-maquette/main/photos/200.jpg")</f>
        <v/>
      </c>
      <c r="H266" s="4" t="inlineStr">
        <is>
          <t>http://dreamcosmetics.net/fr/product/b%C3%A9b%C3%A9-enfants/eau-de-cologne/boudchou-eau-de-cologne-gar%C3%A7on-grand-format</t>
        </is>
      </c>
      <c r="I266" s="4" t="inlineStr">
        <is>
          <t>Site Dream Cosmetics</t>
        </is>
      </c>
      <c r="J266" s="4" t="inlineStr"/>
    </row>
    <row r="267" ht="70" customHeight="1">
      <c r="A267" s="4" t="inlineStr">
        <is>
          <t>Boudchou</t>
        </is>
      </c>
      <c r="B267" s="4" t="inlineStr"/>
      <c r="C267" s="4" t="inlineStr">
        <is>
          <t>Boudchou eau de parfum fille</t>
        </is>
      </c>
      <c r="D267" s="4" t="inlineStr">
        <is>
          <t>Parfum</t>
        </is>
      </c>
      <c r="E267" s="4" t="inlineStr">
        <is>
          <t>Eau de parfum</t>
        </is>
      </c>
      <c r="F267" s="5" t="inlineStr">
        <is>
          <t>à confirmer</t>
        </is>
      </c>
      <c r="G267" s="4">
        <f>IMAGE("https://raw.githubusercontent.com/leslita06/dreamcosmetics-maquette/main/photos/543.jpg")</f>
        <v/>
      </c>
      <c r="H267" s="4" t="inlineStr">
        <is>
          <t>http://dreamcosmetics.net/fr/product/b%C3%A9b%C3%A9-enfants/eau-de-parfum/boudchou-eau-de-parfum-fille</t>
        </is>
      </c>
      <c r="I267" s="4" t="inlineStr">
        <is>
          <t>Site Dream Cosmetics</t>
        </is>
      </c>
      <c r="J267" s="4" t="inlineStr"/>
    </row>
    <row r="268" ht="70" customHeight="1">
      <c r="A268" s="4" t="inlineStr">
        <is>
          <t>Boudchou</t>
        </is>
      </c>
      <c r="B268" s="4" t="inlineStr"/>
      <c r="C268" s="4" t="inlineStr">
        <is>
          <t>Boudchou eau de parfum garçon</t>
        </is>
      </c>
      <c r="D268" s="4" t="inlineStr">
        <is>
          <t>Parfum</t>
        </is>
      </c>
      <c r="E268" s="4" t="inlineStr">
        <is>
          <t>Eau de parfum</t>
        </is>
      </c>
      <c r="F268" s="5" t="inlineStr">
        <is>
          <t>à confirmer</t>
        </is>
      </c>
      <c r="G268" s="4">
        <f>IMAGE("https://raw.githubusercontent.com/leslita06/dreamcosmetics-maquette/main/photos/544.jpg")</f>
        <v/>
      </c>
      <c r="H268" s="4" t="inlineStr">
        <is>
          <t>http://dreamcosmetics.net/fr/product/b%C3%A9b%C3%A9-enfants/eau-de-parfum/boudchou-eau-de-parfum-gar%C3%A7on</t>
        </is>
      </c>
      <c r="I268" s="4" t="inlineStr">
        <is>
          <t>Site Dream Cosmetics</t>
        </is>
      </c>
      <c r="J268" s="4" t="inlineStr"/>
    </row>
    <row r="269" ht="70" customHeight="1">
      <c r="A269" s="4" t="inlineStr">
        <is>
          <t>Boudchou</t>
        </is>
      </c>
      <c r="B269" s="4" t="inlineStr"/>
      <c r="C269" s="4" t="inlineStr">
        <is>
          <t>Boudchou huile de soin fille</t>
        </is>
      </c>
      <c r="D269" s="4" t="inlineStr">
        <is>
          <t>Bébé et enfant</t>
        </is>
      </c>
      <c r="E269" s="4" t="inlineStr">
        <is>
          <t>Huile</t>
        </is>
      </c>
      <c r="F269" s="5" t="inlineStr">
        <is>
          <t>à confirmer</t>
        </is>
      </c>
      <c r="G269" s="4">
        <f>IMAGE("https://raw.githubusercontent.com/leslita06/dreamcosmetics-maquette/main/photos/570.jpg")</f>
        <v/>
      </c>
      <c r="H269" s="4" t="inlineStr">
        <is>
          <t>http://dreamcosmetics.net/fr/product/b%C3%A9b%C3%A9-enfants/huile/boudchou-huile-de-soin-fille</t>
        </is>
      </c>
      <c r="I269" s="4" t="inlineStr">
        <is>
          <t>Site Dream Cosmetics</t>
        </is>
      </c>
      <c r="J269" s="4" t="inlineStr"/>
    </row>
    <row r="270" ht="70" customHeight="1">
      <c r="A270" s="4" t="inlineStr">
        <is>
          <t>Boudchou</t>
        </is>
      </c>
      <c r="B270" s="4" t="inlineStr"/>
      <c r="C270" s="4" t="inlineStr">
        <is>
          <t>Boudchou lait de toilette fille</t>
        </is>
      </c>
      <c r="D270" s="4" t="inlineStr">
        <is>
          <t>Bébé et enfant</t>
        </is>
      </c>
      <c r="E270" s="4" t="inlineStr">
        <is>
          <t>Lait</t>
        </is>
      </c>
      <c r="F270" s="5" t="inlineStr">
        <is>
          <t>à confirmer</t>
        </is>
      </c>
      <c r="G270" s="4">
        <f>IMAGE("https://raw.githubusercontent.com/leslita06/dreamcosmetics-maquette/main/photos/209.jpg")</f>
        <v/>
      </c>
      <c r="H270" s="4" t="inlineStr">
        <is>
          <t>http://dreamcosmetics.net/fr/product/b%C3%A9b%C3%A9-enfants/lait/boudchou-lait-de-toilette-fille</t>
        </is>
      </c>
      <c r="I270" s="4" t="inlineStr">
        <is>
          <t>Site Dream Cosmetics</t>
        </is>
      </c>
      <c r="J270" s="4" t="inlineStr"/>
    </row>
    <row r="271" ht="70" customHeight="1">
      <c r="A271" s="4" t="inlineStr">
        <is>
          <t>Boudchou</t>
        </is>
      </c>
      <c r="B271" s="4" t="inlineStr"/>
      <c r="C271" s="4" t="inlineStr">
        <is>
          <t>Boudchou lait de toilette garçon</t>
        </is>
      </c>
      <c r="D271" s="4" t="inlineStr">
        <is>
          <t>Bébé et enfant</t>
        </is>
      </c>
      <c r="E271" s="4" t="inlineStr">
        <is>
          <t>Huile</t>
        </is>
      </c>
      <c r="F271" s="5" t="inlineStr">
        <is>
          <t>à confirmer</t>
        </is>
      </c>
      <c r="G271" s="4">
        <f>IMAGE("https://raw.githubusercontent.com/leslita06/dreamcosmetics-maquette/main/photos/201.jpg")</f>
        <v/>
      </c>
      <c r="H271" s="4" t="inlineStr">
        <is>
          <t>http://dreamcosmetics.net/fr/product/b%C3%A9b%C3%A9-enfants/huile/boudchou-lait-de-toilette-gar%C3%A7on</t>
        </is>
      </c>
      <c r="I271" s="4" t="inlineStr">
        <is>
          <t>Site Dream Cosmetics</t>
        </is>
      </c>
      <c r="J271" s="4" t="inlineStr"/>
    </row>
    <row r="272" ht="70" customHeight="1">
      <c r="A272" s="4" t="inlineStr">
        <is>
          <t>Boudchou</t>
        </is>
      </c>
      <c r="B272" s="4" t="inlineStr"/>
      <c r="C272" s="4" t="inlineStr">
        <is>
          <t>Boudchou Lait fille</t>
        </is>
      </c>
      <c r="D272" s="4" t="inlineStr">
        <is>
          <t>Bébé et enfant</t>
        </is>
      </c>
      <c r="E272" s="4" t="inlineStr">
        <is>
          <t>Lait</t>
        </is>
      </c>
      <c r="F272" s="5" t="inlineStr">
        <is>
          <t>à confirmer</t>
        </is>
      </c>
      <c r="G272" s="4">
        <f>IMAGE("https://raw.githubusercontent.com/leslita06/dreamcosmetics-maquette/main/photos/210.jpg")</f>
        <v/>
      </c>
      <c r="H272" s="4" t="inlineStr">
        <is>
          <t>http://dreamcosmetics.net/fr/product/b%C3%A9b%C3%A9-enfants/lait/boudchou-lait-fille</t>
        </is>
      </c>
      <c r="I272" s="4" t="inlineStr">
        <is>
          <t>Site Dream Cosmetics</t>
        </is>
      </c>
      <c r="J272" s="4" t="inlineStr"/>
    </row>
    <row r="273" ht="70" customHeight="1">
      <c r="A273" s="4" t="inlineStr">
        <is>
          <t>Boudchou</t>
        </is>
      </c>
      <c r="B273" s="4" t="inlineStr"/>
      <c r="C273" s="4" t="inlineStr">
        <is>
          <t>Boudchou Lingettes Fille</t>
        </is>
      </c>
      <c r="D273" s="4" t="inlineStr">
        <is>
          <t>Bébé et enfant</t>
        </is>
      </c>
      <c r="E273" s="4" t="inlineStr">
        <is>
          <t>Lingette</t>
        </is>
      </c>
      <c r="F273" s="5" t="inlineStr">
        <is>
          <t>à confirmer</t>
        </is>
      </c>
      <c r="G273" s="4">
        <f>IMAGE("https://raw.githubusercontent.com/leslita06/dreamcosmetics-maquette/main/photos/309.jpg")</f>
        <v/>
      </c>
      <c r="H273" s="4" t="inlineStr">
        <is>
          <t>http://dreamcosmetics.net/fr/product/b%C3%A9b%C3%A9-enfants/lingette/boudchou-lingettes-fille</t>
        </is>
      </c>
      <c r="I273" s="4" t="inlineStr">
        <is>
          <t>Site Dream Cosmetics</t>
        </is>
      </c>
      <c r="J273" s="4" t="inlineStr"/>
    </row>
    <row r="274" ht="70" customHeight="1">
      <c r="A274" s="4" t="inlineStr">
        <is>
          <t>Boudchou</t>
        </is>
      </c>
      <c r="B274" s="4" t="inlineStr"/>
      <c r="C274" s="4" t="inlineStr">
        <is>
          <t>Boudchou lingettes Garçon</t>
        </is>
      </c>
      <c r="D274" s="4" t="inlineStr">
        <is>
          <t>Bébé et enfant</t>
        </is>
      </c>
      <c r="E274" s="4" t="inlineStr">
        <is>
          <t>Lingette</t>
        </is>
      </c>
      <c r="F274" s="5" t="inlineStr">
        <is>
          <t>à confirmer</t>
        </is>
      </c>
      <c r="G274" s="4">
        <f>IMAGE("https://raw.githubusercontent.com/leslita06/dreamcosmetics-maquette/main/photos/310.jpg")</f>
        <v/>
      </c>
      <c r="H274" s="4" t="inlineStr">
        <is>
          <t>http://dreamcosmetics.net/fr/product/b%C3%A9b%C3%A9-enfants/lingette/boudchou-lingettes-gar%C3%A7on</t>
        </is>
      </c>
      <c r="I274" s="4" t="inlineStr">
        <is>
          <t>Site Dream Cosmetics</t>
        </is>
      </c>
      <c r="J274" s="4" t="inlineStr"/>
    </row>
    <row r="275" ht="70" customHeight="1">
      <c r="A275" s="4" t="inlineStr">
        <is>
          <t>Boudchou</t>
        </is>
      </c>
      <c r="B275" s="4" t="inlineStr"/>
      <c r="C275" s="4" t="inlineStr">
        <is>
          <t>Boudchou pommade fille</t>
        </is>
      </c>
      <c r="D275" s="4" t="inlineStr">
        <is>
          <t>Bébé et enfant</t>
        </is>
      </c>
      <c r="E275" s="4" t="inlineStr">
        <is>
          <t>Pommade</t>
        </is>
      </c>
      <c r="F275" s="5" t="inlineStr">
        <is>
          <t>à confirmer</t>
        </is>
      </c>
      <c r="G275" s="4">
        <f>IMAGE("https://raw.githubusercontent.com/leslita06/dreamcosmetics-maquette/main/photos/567.jpg")</f>
        <v/>
      </c>
      <c r="H275" s="4" t="inlineStr">
        <is>
          <t>http://dreamcosmetics.net/fr/product/b%C3%A9b%C3%A9-enfants/pommade/boudchou-pommade-fille</t>
        </is>
      </c>
      <c r="I275" s="4" t="inlineStr">
        <is>
          <t>Site Dream Cosmetics</t>
        </is>
      </c>
      <c r="J275" s="4" t="inlineStr"/>
    </row>
    <row r="276" ht="70" customHeight="1">
      <c r="A276" s="4" t="inlineStr">
        <is>
          <t>Boudchou</t>
        </is>
      </c>
      <c r="B276" s="4" t="inlineStr"/>
      <c r="C276" s="4" t="inlineStr">
        <is>
          <t>Boudchou pommade Garçon</t>
        </is>
      </c>
      <c r="D276" s="4" t="inlineStr">
        <is>
          <t>Bébé et enfant</t>
        </is>
      </c>
      <c r="E276" s="4" t="inlineStr">
        <is>
          <t>Crème</t>
        </is>
      </c>
      <c r="F276" s="5" t="inlineStr">
        <is>
          <t>à confirmer</t>
        </is>
      </c>
      <c r="G276" s="4">
        <f>IMAGE("https://raw.githubusercontent.com/leslita06/dreamcosmetics-maquette/main/photos/202.jpg")</f>
        <v/>
      </c>
      <c r="H276" s="4" t="inlineStr">
        <is>
          <t>http://dreamcosmetics.net/fr/product/b%C3%A9b%C3%A9-enfants/cr%C3%A8me/boudchou-pommade-gar%C3%A7on</t>
        </is>
      </c>
      <c r="I276" s="4" t="inlineStr">
        <is>
          <t>Site Dream Cosmetics</t>
        </is>
      </c>
      <c r="J276" s="4" t="inlineStr"/>
    </row>
    <row r="277" ht="70" customHeight="1">
      <c r="A277" s="4" t="inlineStr">
        <is>
          <t>Boudchou</t>
        </is>
      </c>
      <c r="B277" s="4" t="inlineStr"/>
      <c r="C277" s="4" t="inlineStr">
        <is>
          <t>Boudchou savon fille</t>
        </is>
      </c>
      <c r="D277" s="4" t="inlineStr">
        <is>
          <t>Bébé et enfant</t>
        </is>
      </c>
      <c r="E277" s="4" t="inlineStr">
        <is>
          <t>Savon</t>
        </is>
      </c>
      <c r="F277" s="5" t="inlineStr">
        <is>
          <t>à confirmer</t>
        </is>
      </c>
      <c r="G277" s="4">
        <f>IMAGE("https://raw.githubusercontent.com/leslita06/dreamcosmetics-maquette/main/photos/212.jpg")</f>
        <v/>
      </c>
      <c r="H277" s="4" t="inlineStr">
        <is>
          <t>http://dreamcosmetics.net/fr/product/b%C3%A9b%C3%A9-enfants/savon/boudchou-savon-fille</t>
        </is>
      </c>
      <c r="I277" s="4" t="inlineStr">
        <is>
          <t>Site Dream Cosmetics</t>
        </is>
      </c>
      <c r="J277" s="4" t="inlineStr"/>
    </row>
    <row r="278" ht="70" customHeight="1">
      <c r="A278" s="4" t="inlineStr">
        <is>
          <t>Boudchou</t>
        </is>
      </c>
      <c r="B278" s="4" t="inlineStr"/>
      <c r="C278" s="4" t="inlineStr">
        <is>
          <t>Boudchou savon garçon</t>
        </is>
      </c>
      <c r="D278" s="4" t="inlineStr">
        <is>
          <t>Bébé et enfant</t>
        </is>
      </c>
      <c r="E278" s="4" t="inlineStr">
        <is>
          <t>Savon</t>
        </is>
      </c>
      <c r="F278" s="5" t="inlineStr">
        <is>
          <t>à confirmer</t>
        </is>
      </c>
      <c r="G278" s="4">
        <f>IMAGE("https://raw.githubusercontent.com/leslita06/dreamcosmetics-maquette/main/photos/215.jpg")</f>
        <v/>
      </c>
      <c r="H278" s="4" t="inlineStr">
        <is>
          <t>http://dreamcosmetics.net/fr/product/b%C3%A9b%C3%A9-enfants/savon/boudchou-savon-gar%C3%A7on</t>
        </is>
      </c>
      <c r="I278" s="4" t="inlineStr">
        <is>
          <t>Site Dream Cosmetics</t>
        </is>
      </c>
      <c r="J278" s="4" t="inlineStr"/>
    </row>
    <row r="279" ht="70" customHeight="1">
      <c r="A279" s="4" t="inlineStr">
        <is>
          <t>Boudchou</t>
        </is>
      </c>
      <c r="B279" s="4" t="inlineStr"/>
      <c r="C279" s="4" t="inlineStr">
        <is>
          <t>Boudchou talc fille 200g</t>
        </is>
      </c>
      <c r="D279" s="4" t="inlineStr">
        <is>
          <t>Bébé et enfant</t>
        </is>
      </c>
      <c r="E279" s="4" t="inlineStr">
        <is>
          <t>Talc</t>
        </is>
      </c>
      <c r="F279" s="5" t="inlineStr">
        <is>
          <t>à confirmer</t>
        </is>
      </c>
      <c r="G279" s="4">
        <f>IMAGE("https://raw.githubusercontent.com/leslita06/dreamcosmetics-maquette/main/photos/213.jpg")</f>
        <v/>
      </c>
      <c r="H279" s="4" t="inlineStr">
        <is>
          <t>http://dreamcosmetics.net/fr/product/b%C3%A9b%C3%A9-enfants/talc/boudchou-talc-fille-200g</t>
        </is>
      </c>
      <c r="I279" s="4" t="inlineStr">
        <is>
          <t>Site Dream Cosmetics</t>
        </is>
      </c>
      <c r="J279" s="4" t="inlineStr"/>
    </row>
    <row r="280" ht="70" customHeight="1">
      <c r="A280" s="4" t="inlineStr">
        <is>
          <t>Boudchou</t>
        </is>
      </c>
      <c r="B280" s="4" t="inlineStr"/>
      <c r="C280" s="4" t="inlineStr">
        <is>
          <t>Boudchou talc fille grand format</t>
        </is>
      </c>
      <c r="D280" s="4" t="inlineStr">
        <is>
          <t>Bébé et enfant</t>
        </is>
      </c>
      <c r="E280" s="4" t="inlineStr">
        <is>
          <t>Talc</t>
        </is>
      </c>
      <c r="F280" s="5" t="inlineStr">
        <is>
          <t>à confirmer</t>
        </is>
      </c>
      <c r="G280" s="4">
        <f>IMAGE("https://raw.githubusercontent.com/leslita06/dreamcosmetics-maquette/main/photos/324.jpg")</f>
        <v/>
      </c>
      <c r="H280" s="4" t="inlineStr">
        <is>
          <t>http://dreamcosmetics.net/fr/product/b%C3%A9b%C3%A9-enfants/talc/boudchou-talc-fille-grand-format</t>
        </is>
      </c>
      <c r="I280" s="4" t="inlineStr">
        <is>
          <t>Site Dream Cosmetics</t>
        </is>
      </c>
      <c r="J280" s="4" t="inlineStr"/>
    </row>
    <row r="281" ht="70" customHeight="1">
      <c r="A281" s="4" t="inlineStr">
        <is>
          <t>Boudchou</t>
        </is>
      </c>
      <c r="B281" s="4" t="inlineStr"/>
      <c r="C281" s="4" t="inlineStr">
        <is>
          <t>Boudchou Talc Garçon</t>
        </is>
      </c>
      <c r="D281" s="4" t="inlineStr">
        <is>
          <t>Bébé et enfant</t>
        </is>
      </c>
      <c r="E281" s="4" t="inlineStr">
        <is>
          <t>Talc</t>
        </is>
      </c>
      <c r="F281" s="5" t="inlineStr">
        <is>
          <t>à confirmer</t>
        </is>
      </c>
      <c r="G281" s="4">
        <f>IMAGE("https://raw.githubusercontent.com/leslita06/dreamcosmetics-maquette/main/photos/245.jpg")</f>
        <v/>
      </c>
      <c r="H281" s="4" t="inlineStr">
        <is>
          <t>http://dreamcosmetics.net/fr/product/b%C3%A9b%C3%A9-enfants/talc/boudchou-talc-gar%C3%A7on</t>
        </is>
      </c>
      <c r="I281" s="4" t="inlineStr">
        <is>
          <t>Site Dream Cosmetics</t>
        </is>
      </c>
      <c r="J281" s="4" t="inlineStr"/>
    </row>
    <row r="282" ht="70" customHeight="1">
      <c r="A282" s="4" t="inlineStr">
        <is>
          <t>Boudchou</t>
        </is>
      </c>
      <c r="B282" s="4" t="inlineStr"/>
      <c r="C282" s="4" t="inlineStr">
        <is>
          <t>Boudchou talc garçon 300 g</t>
        </is>
      </c>
      <c r="D282" s="4" t="inlineStr">
        <is>
          <t>Bébé et enfant</t>
        </is>
      </c>
      <c r="E282" s="4" t="inlineStr">
        <is>
          <t>Talc</t>
        </is>
      </c>
      <c r="F282" s="5" t="inlineStr">
        <is>
          <t>à confirmer</t>
        </is>
      </c>
      <c r="G282" s="4">
        <f>IMAGE("https://raw.githubusercontent.com/leslita06/dreamcosmetics-maquette/main/photos/325.jpg")</f>
        <v/>
      </c>
      <c r="H282" s="4" t="inlineStr">
        <is>
          <t>http://dreamcosmetics.net/fr/product/b%C3%A9b%C3%A9-enfants/talc/boudchou-talc-gar%C3%A7on-300-g</t>
        </is>
      </c>
      <c r="I282" s="4" t="inlineStr">
        <is>
          <t>Site Dream Cosmetics</t>
        </is>
      </c>
      <c r="J282" s="4" t="inlineStr"/>
    </row>
    <row r="283" ht="70" customHeight="1">
      <c r="A283" s="4" t="inlineStr">
        <is>
          <t>Carowhite</t>
        </is>
      </c>
      <c r="B283" s="4" t="inlineStr"/>
      <c r="C283" s="4" t="inlineStr">
        <is>
          <t>CAROWHITE Booster Lightdrop sérum activateur d’éclat huile de carotte</t>
        </is>
      </c>
      <c r="D283" s="4" t="inlineStr">
        <is>
          <t>Visage et corps</t>
        </is>
      </c>
      <c r="E283" s="4" t="inlineStr">
        <is>
          <t>Sérum</t>
        </is>
      </c>
      <c r="F283" s="4" t="inlineStr">
        <is>
          <t>7 ml</t>
        </is>
      </c>
      <c r="G283" s="4">
        <f>IMAGE("https://raw.githubusercontent.com/leslita06/dreamcosmetics-maquette/main/photos/412.jpg")</f>
        <v/>
      </c>
      <c r="H283" s="4" t="inlineStr">
        <is>
          <t>http://dreamcosmetics.net/fr/product/visage-et-corps/s%C3%A9rum/carowhite-booster-lightdrop-s%C3%A9rum-activateur-d%E2%80%99%C3%A9clat-huile-de-carotte</t>
        </is>
      </c>
      <c r="I283" s="4" t="inlineStr">
        <is>
          <t>Site Dream Cosmetics</t>
        </is>
      </c>
      <c r="J283" s="4" t="inlineStr">
        <is>
          <t>Gamme éclaircissante : à ne pas mettre en avant</t>
        </is>
      </c>
    </row>
    <row r="284" ht="70" customHeight="1">
      <c r="A284" s="4" t="inlineStr">
        <is>
          <t>Carowhite</t>
        </is>
      </c>
      <c r="B284" s="4" t="inlineStr"/>
      <c r="C284" s="4" t="inlineStr">
        <is>
          <t>CAROWHITE Crème de beauté clarifiante</t>
        </is>
      </c>
      <c r="D284" s="4" t="inlineStr">
        <is>
          <t>Visage et corps</t>
        </is>
      </c>
      <c r="E284" s="4" t="inlineStr">
        <is>
          <t>Crème</t>
        </is>
      </c>
      <c r="F284" s="4" t="inlineStr">
        <is>
          <t>120 - 300 - 500 ml</t>
        </is>
      </c>
      <c r="G284" s="4">
        <f>IMAGE("https://raw.githubusercontent.com/leslita06/dreamcosmetics-maquette/main/photos/9.jpg")</f>
        <v/>
      </c>
      <c r="H284" s="4" t="inlineStr">
        <is>
          <t>http://dreamcosmetics.net/fr/product/visage-et-corps/cr%C3%A8me/carowhite-cr%C3%A8me-de-beaut%C3%A9-clarifiante</t>
        </is>
      </c>
      <c r="I284" s="4" t="inlineStr">
        <is>
          <t>Site Dream Cosmetics</t>
        </is>
      </c>
      <c r="J284" s="4" t="inlineStr">
        <is>
          <t>Gamme éclaircissante : à ne pas mettre en avant</t>
        </is>
      </c>
    </row>
    <row r="285" ht="70" customHeight="1">
      <c r="A285" s="4" t="inlineStr">
        <is>
          <t>Carowhite</t>
        </is>
      </c>
      <c r="B285" s="4" t="inlineStr"/>
      <c r="C285" s="4" t="inlineStr">
        <is>
          <t>CAROWHITE double soin concentré jour &amp; nuit</t>
        </is>
      </c>
      <c r="D285" s="4" t="inlineStr">
        <is>
          <t>Visage et corps</t>
        </is>
      </c>
      <c r="E285" s="4" t="inlineStr">
        <is>
          <t>Sérum</t>
        </is>
      </c>
      <c r="F285" s="5" t="inlineStr">
        <is>
          <t>à confirmer</t>
        </is>
      </c>
      <c r="G285" s="4">
        <f>IMAGE("https://raw.githubusercontent.com/leslita06/dreamcosmetics-maquette/main/photos/511.jpg")</f>
        <v/>
      </c>
      <c r="H285" s="4" t="inlineStr">
        <is>
          <t>http://dreamcosmetics.net/fr/product/visage-et-corps/s%C3%A9rum/carowhite-double-soin-concentr%C3%A9-jour-nuit</t>
        </is>
      </c>
      <c r="I285" s="4" t="inlineStr">
        <is>
          <t>Site Dream Cosmetics</t>
        </is>
      </c>
      <c r="J285" s="4" t="inlineStr">
        <is>
          <t>Gamme éclaircissante : à ne pas mettre en avant</t>
        </is>
      </c>
    </row>
    <row r="286" ht="70" customHeight="1">
      <c r="A286" s="4" t="inlineStr">
        <is>
          <t>Carowhite</t>
        </is>
      </c>
      <c r="B286" s="4" t="inlineStr"/>
      <c r="C286" s="4" t="inlineStr">
        <is>
          <t>CAROWHITE Gel douche clarifiant</t>
        </is>
      </c>
      <c r="D286" s="4" t="inlineStr">
        <is>
          <t>Corps (douche)</t>
        </is>
      </c>
      <c r="E286" s="4" t="inlineStr">
        <is>
          <t>Gel douche</t>
        </is>
      </c>
      <c r="F286" s="5" t="inlineStr">
        <is>
          <t>à confirmer</t>
        </is>
      </c>
      <c r="G286" s="4">
        <f>IMAGE("https://raw.githubusercontent.com/leslita06/dreamcosmetics-maquette/main/photos/29.jpg")</f>
        <v/>
      </c>
      <c r="H286" s="4" t="inlineStr">
        <is>
          <t>http://dreamcosmetics.net/fr/product/visage-et-corps/gel-douche/carowhite-gel-douche-clarifiant</t>
        </is>
      </c>
      <c r="I286" s="4" t="inlineStr">
        <is>
          <t>Site Dream Cosmetics</t>
        </is>
      </c>
      <c r="J286" s="4" t="inlineStr">
        <is>
          <t>Gamme éclaircissante : à ne pas mettre en avant</t>
        </is>
      </c>
    </row>
    <row r="287" ht="70" customHeight="1">
      <c r="A287" s="4" t="inlineStr">
        <is>
          <t>Carowhite</t>
        </is>
      </c>
      <c r="B287" s="4" t="inlineStr"/>
      <c r="C287" s="4" t="inlineStr">
        <is>
          <t>CAROWHITE Gel douche gommant huile de carotte &amp; poudre de noyaux d'abricots</t>
        </is>
      </c>
      <c r="D287" s="4" t="inlineStr">
        <is>
          <t>Corps (douche)</t>
        </is>
      </c>
      <c r="E287" s="4" t="inlineStr">
        <is>
          <t>Gel douche</t>
        </is>
      </c>
      <c r="F287" s="4" t="inlineStr">
        <is>
          <t>500 ml</t>
        </is>
      </c>
      <c r="G287" s="4">
        <f>IMAGE("https://raw.githubusercontent.com/leslita06/dreamcosmetics-maquette/main/photos/410.jpg")</f>
        <v/>
      </c>
      <c r="H287" s="4" t="inlineStr">
        <is>
          <t>http://dreamcosmetics.net/fr/product/visage-et-corps/gel-douche/carowhite-gel-douche-gommant-huile-de-carotte-poudre-de-noyaux</t>
        </is>
      </c>
      <c r="I287" s="4" t="inlineStr">
        <is>
          <t>Site Dream Cosmetics</t>
        </is>
      </c>
      <c r="J287" s="4" t="inlineStr">
        <is>
          <t>Gamme éclaircissante : à ne pas mettre en avant</t>
        </is>
      </c>
    </row>
    <row r="288" ht="70" customHeight="1">
      <c r="A288" s="4" t="inlineStr">
        <is>
          <t>Carowhite</t>
        </is>
      </c>
      <c r="B288" s="4" t="inlineStr"/>
      <c r="C288" s="4" t="inlineStr">
        <is>
          <t>CAROWHITE Huile Clarifiante</t>
        </is>
      </c>
      <c r="D288" s="4" t="inlineStr">
        <is>
          <t>Visage et corps</t>
        </is>
      </c>
      <c r="E288" s="4" t="inlineStr">
        <is>
          <t>Huile</t>
        </is>
      </c>
      <c r="F288" s="4" t="inlineStr">
        <is>
          <t>50 ml</t>
        </is>
      </c>
      <c r="G288" s="4">
        <f>IMAGE("https://raw.githubusercontent.com/leslita06/dreamcosmetics-maquette/main/photos/45.jpg")</f>
        <v/>
      </c>
      <c r="H288" s="4" t="inlineStr">
        <is>
          <t>http://dreamcosmetics.net/fr/product/visage-et-corps/huile/carowhite-huile-clarifiante</t>
        </is>
      </c>
      <c r="I288" s="4" t="inlineStr">
        <is>
          <t>Site Dream Cosmetics</t>
        </is>
      </c>
      <c r="J288" s="4" t="inlineStr">
        <is>
          <t>Gamme éclaircissante : à ne pas mettre en avant</t>
        </is>
      </c>
    </row>
    <row r="289" ht="70" customHeight="1">
      <c r="A289" s="4" t="inlineStr">
        <is>
          <t>Carowhite</t>
        </is>
      </c>
      <c r="B289" s="4" t="inlineStr"/>
      <c r="C289" s="4" t="inlineStr">
        <is>
          <t>CAROWHITE Lait de beauté clarifiant</t>
        </is>
      </c>
      <c r="D289" s="4" t="inlineStr">
        <is>
          <t>Visage et corps</t>
        </is>
      </c>
      <c r="E289" s="4" t="inlineStr">
        <is>
          <t>Lait</t>
        </is>
      </c>
      <c r="F289" s="4" t="inlineStr">
        <is>
          <t>125 - 200 - 300 - 500 ml</t>
        </is>
      </c>
      <c r="G289" s="4">
        <f>IMAGE("https://raw.githubusercontent.com/leslita06/dreamcosmetics-maquette/main/photos/40.jpg")</f>
        <v/>
      </c>
      <c r="H289" s="4" t="inlineStr">
        <is>
          <t>http://dreamcosmetics.net/fr/product/visage-et-corps/lait/carowhite-lait-de-beaut%C3%A9-clarifiant</t>
        </is>
      </c>
      <c r="I289" s="4" t="inlineStr">
        <is>
          <t>Site Dream Cosmetics</t>
        </is>
      </c>
      <c r="J289" s="4" t="inlineStr">
        <is>
          <t>Gamme éclaircissante : à ne pas mettre en avant</t>
        </is>
      </c>
    </row>
    <row r="290" ht="70" customHeight="1">
      <c r="A290" s="4" t="inlineStr">
        <is>
          <t>Carowhite</t>
        </is>
      </c>
      <c r="B290" s="4" t="inlineStr"/>
      <c r="C290" s="4" t="inlineStr">
        <is>
          <t>CAROWHITE lotion</t>
        </is>
      </c>
      <c r="D290" s="4" t="inlineStr">
        <is>
          <t>Visage et corps</t>
        </is>
      </c>
      <c r="E290" s="4" t="inlineStr">
        <is>
          <t>Lotion</t>
        </is>
      </c>
      <c r="F290" s="4" t="inlineStr">
        <is>
          <t>30 ml</t>
        </is>
      </c>
      <c r="G290" s="4">
        <f>IMAGE("https://raw.githubusercontent.com/leslita06/dreamcosmetics-maquette/main/photos/30.jpg")</f>
        <v/>
      </c>
      <c r="H290" s="4" t="inlineStr">
        <is>
          <t>http://dreamcosmetics.net/fr/product/visage-et-corps/lotion/carowhite-lotion</t>
        </is>
      </c>
      <c r="I290" s="4" t="inlineStr">
        <is>
          <t>Site Dream Cosmetics</t>
        </is>
      </c>
      <c r="J290" s="4" t="inlineStr">
        <is>
          <t>Gamme éclaircissante : à ne pas mettre en avant</t>
        </is>
      </c>
    </row>
    <row r="291" ht="70" customHeight="1">
      <c r="A291" s="4" t="inlineStr">
        <is>
          <t>Carowhite</t>
        </is>
      </c>
      <c r="B291" s="4" t="inlineStr"/>
      <c r="C291" s="4" t="inlineStr">
        <is>
          <t>Carowhite pommade</t>
        </is>
      </c>
      <c r="D291" s="4" t="inlineStr">
        <is>
          <t>Visage et corps</t>
        </is>
      </c>
      <c r="E291" s="4" t="inlineStr">
        <is>
          <t>Pommade</t>
        </is>
      </c>
      <c r="F291" s="5" t="inlineStr">
        <is>
          <t>à confirmer</t>
        </is>
      </c>
      <c r="G291" s="4">
        <f>IMAGE("https://raw.githubusercontent.com/leslita06/dreamcosmetics-maquette/main/photos/145.jpg")</f>
        <v/>
      </c>
      <c r="H291" s="4" t="inlineStr">
        <is>
          <t>http://dreamcosmetics.net/fr/product/visage-et-corps/pommade/carowhite-pommade</t>
        </is>
      </c>
      <c r="I291" s="4" t="inlineStr">
        <is>
          <t>Site Dream Cosmetics</t>
        </is>
      </c>
      <c r="J291" s="4" t="inlineStr">
        <is>
          <t>Gamme éclaircissante : à ne pas mettre en avant</t>
        </is>
      </c>
    </row>
    <row r="292" ht="70" customHeight="1">
      <c r="A292" s="4" t="inlineStr">
        <is>
          <t>Carowhite</t>
        </is>
      </c>
      <c r="B292" s="4" t="inlineStr"/>
      <c r="C292" s="4" t="inlineStr">
        <is>
          <t>CAROWHITE savon</t>
        </is>
      </c>
      <c r="D292" s="4" t="inlineStr">
        <is>
          <t>Savon</t>
        </is>
      </c>
      <c r="E292" s="4" t="inlineStr">
        <is>
          <t>Savon</t>
        </is>
      </c>
      <c r="F292" s="5" t="inlineStr">
        <is>
          <t>à confirmer</t>
        </is>
      </c>
      <c r="G292" s="4">
        <f>IMAGE("https://raw.githubusercontent.com/leslita06/dreamcosmetics-maquette/main/photos/74.jpg")</f>
        <v/>
      </c>
      <c r="H292" s="4" t="inlineStr">
        <is>
          <t>http://dreamcosmetics.net/fr/product/visage-et-corps/savon/carowhite-savon</t>
        </is>
      </c>
      <c r="I292" s="4" t="inlineStr">
        <is>
          <t>Site Dream Cosmetics</t>
        </is>
      </c>
      <c r="J292" s="4" t="inlineStr">
        <is>
          <t>Gamme éclaircissante : à ne pas mettre en avant</t>
        </is>
      </c>
    </row>
    <row r="293" ht="70" customHeight="1">
      <c r="A293" s="4" t="inlineStr">
        <is>
          <t>Carowhite</t>
        </is>
      </c>
      <c r="B293" s="4" t="inlineStr"/>
      <c r="C293" s="4" t="inlineStr">
        <is>
          <t>CAROWHITE Tube crème de beauté clarifiante</t>
        </is>
      </c>
      <c r="D293" s="4" t="inlineStr">
        <is>
          <t>Visage et corps</t>
        </is>
      </c>
      <c r="E293" s="4" t="inlineStr">
        <is>
          <t>Crème</t>
        </is>
      </c>
      <c r="F293" s="4" t="inlineStr">
        <is>
          <t>30 ml</t>
        </is>
      </c>
      <c r="G293" s="4">
        <f>IMAGE("https://raw.githubusercontent.com/leslita06/dreamcosmetics-maquette/main/photos/19.jpg")</f>
        <v/>
      </c>
      <c r="H293" s="4" t="inlineStr">
        <is>
          <t>http://dreamcosmetics.net/fr/product/visage-et-corps/cr%C3%A8me/carowhite-tube-cr%C3%A8me-de-beaut%C3%A9-clarifiante</t>
        </is>
      </c>
      <c r="I293" s="4" t="inlineStr">
        <is>
          <t>Site Dream Cosmetics</t>
        </is>
      </c>
      <c r="J293" s="4" t="inlineStr">
        <is>
          <t>Gamme éclaircissante : à ne pas mettre en avant</t>
        </is>
      </c>
    </row>
    <row r="294" ht="70" customHeight="1">
      <c r="A294" s="4" t="inlineStr">
        <is>
          <t>Citrolight</t>
        </is>
      </c>
      <c r="B294" s="4" t="inlineStr"/>
      <c r="C294" s="4" t="inlineStr">
        <is>
          <t>Citrolight - tube</t>
        </is>
      </c>
      <c r="D294" s="4" t="inlineStr">
        <is>
          <t>Visage et corps</t>
        </is>
      </c>
      <c r="E294" s="4" t="inlineStr">
        <is>
          <t>Crème</t>
        </is>
      </c>
      <c r="F294" s="5" t="inlineStr">
        <is>
          <t>à confirmer</t>
        </is>
      </c>
      <c r="G294" s="4">
        <f>IMAGE("https://raw.githubusercontent.com/leslita06/dreamcosmetics-maquette/main/photos/290.jpg")</f>
        <v/>
      </c>
      <c r="H294" s="4" t="inlineStr">
        <is>
          <t>http://dreamcosmetics.net/fr/product/visage-et-corps/cr%C3%A8me/citrolight-tube</t>
        </is>
      </c>
      <c r="I294" s="4" t="inlineStr">
        <is>
          <t>Site Dream Cosmetics</t>
        </is>
      </c>
      <c r="J294" s="4" t="inlineStr">
        <is>
          <t>Gamme éclaircissante : à ne pas mettre en avant</t>
        </is>
      </c>
    </row>
    <row r="295" ht="70" customHeight="1">
      <c r="A295" s="4" t="inlineStr">
        <is>
          <t>Citrolight</t>
        </is>
      </c>
      <c r="B295" s="4" t="inlineStr"/>
      <c r="C295" s="4" t="inlineStr">
        <is>
          <t>Citrolight Crème</t>
        </is>
      </c>
      <c r="D295" s="4" t="inlineStr">
        <is>
          <t>Visage et corps</t>
        </is>
      </c>
      <c r="E295" s="4" t="inlineStr">
        <is>
          <t>Crème</t>
        </is>
      </c>
      <c r="F295" s="4" t="inlineStr">
        <is>
          <t>120 - 300 - 500 ml</t>
        </is>
      </c>
      <c r="G295" s="4">
        <f>IMAGE("https://raw.githubusercontent.com/leslita06/dreamcosmetics-maquette/main/photos/216.jpg")</f>
        <v/>
      </c>
      <c r="H295" s="4" t="inlineStr">
        <is>
          <t>http://dreamcosmetics.net/fr/product/visage-et-corps/cr%C3%A8me/citrolight-cr%C3%A8me</t>
        </is>
      </c>
      <c r="I295" s="4" t="inlineStr">
        <is>
          <t>Site Dream Cosmetics</t>
        </is>
      </c>
      <c r="J295" s="4" t="inlineStr">
        <is>
          <t>Gamme éclaircissante : à ne pas mettre en avant</t>
        </is>
      </c>
    </row>
    <row r="296" ht="70" customHeight="1">
      <c r="A296" s="4" t="inlineStr">
        <is>
          <t>Citrolight</t>
        </is>
      </c>
      <c r="B296" s="4" t="inlineStr"/>
      <c r="C296" s="4" t="inlineStr">
        <is>
          <t>CITROLIGHT Gel douche clarifiant - gommant essence de citron</t>
        </is>
      </c>
      <c r="D296" s="4" t="inlineStr">
        <is>
          <t>Corps (douche)</t>
        </is>
      </c>
      <c r="E296" s="4" t="inlineStr">
        <is>
          <t>Gel douche</t>
        </is>
      </c>
      <c r="F296" s="5" t="inlineStr">
        <is>
          <t>à confirmer</t>
        </is>
      </c>
      <c r="G296" s="4">
        <f>IMAGE("https://raw.githubusercontent.com/leslita06/dreamcosmetics-maquette/main/photos/413.jpg")</f>
        <v/>
      </c>
      <c r="H296" s="4" t="inlineStr">
        <is>
          <t>http://dreamcosmetics.net/fr/product/visage-et-corps/gel-douche/citrolight-gel-douche-clarifiant-gommant-essence-de-citron</t>
        </is>
      </c>
      <c r="I296" s="4" t="inlineStr">
        <is>
          <t>Site Dream Cosmetics</t>
        </is>
      </c>
      <c r="J296" s="4" t="inlineStr">
        <is>
          <t>Gamme éclaircissante : à ne pas mettre en avant</t>
        </is>
      </c>
    </row>
    <row r="297" ht="70" customHeight="1">
      <c r="A297" s="4" t="inlineStr">
        <is>
          <t>Citrolight</t>
        </is>
      </c>
      <c r="B297" s="4" t="inlineStr"/>
      <c r="C297" s="4" t="inlineStr">
        <is>
          <t>CITROLIGHT Gel douche clarifiant essence de citron</t>
        </is>
      </c>
      <c r="D297" s="4" t="inlineStr">
        <is>
          <t>Corps (douche)</t>
        </is>
      </c>
      <c r="E297" s="4" t="inlineStr">
        <is>
          <t>Gel douche</t>
        </is>
      </c>
      <c r="F297" s="4" t="inlineStr">
        <is>
          <t>500 ml</t>
        </is>
      </c>
      <c r="G297" s="4">
        <f>IMAGE("https://raw.githubusercontent.com/leslita06/dreamcosmetics-maquette/main/photos/414.jpg")</f>
        <v/>
      </c>
      <c r="H297" s="4" t="inlineStr">
        <is>
          <t>http://dreamcosmetics.net/fr/product/visage-et-corps/gel-douche/citrolight-gel-douche-clarifiant-essence-de-citron</t>
        </is>
      </c>
      <c r="I297" s="4" t="inlineStr">
        <is>
          <t>Site Dream Cosmetics</t>
        </is>
      </c>
      <c r="J297" s="4" t="inlineStr">
        <is>
          <t>Gamme éclaircissante : à ne pas mettre en avant</t>
        </is>
      </c>
    </row>
    <row r="298" ht="70" customHeight="1">
      <c r="A298" s="4" t="inlineStr">
        <is>
          <t>Citrolight</t>
        </is>
      </c>
      <c r="B298" s="4" t="inlineStr"/>
      <c r="C298" s="4" t="inlineStr">
        <is>
          <t>Citrolight Huile</t>
        </is>
      </c>
      <c r="D298" s="4" t="inlineStr">
        <is>
          <t>Visage et corps</t>
        </is>
      </c>
      <c r="E298" s="4" t="inlineStr">
        <is>
          <t>Huile</t>
        </is>
      </c>
      <c r="F298" s="4" t="inlineStr">
        <is>
          <t>50 ml</t>
        </is>
      </c>
      <c r="G298" s="4">
        <f>IMAGE("https://raw.githubusercontent.com/leslita06/dreamcosmetics-maquette/main/photos/217.jpg")</f>
        <v/>
      </c>
      <c r="H298" s="4" t="inlineStr">
        <is>
          <t>http://dreamcosmetics.net/fr/product/visage-et-corps/huile/citrolight-huile</t>
        </is>
      </c>
      <c r="I298" s="4" t="inlineStr">
        <is>
          <t>Site Dream Cosmetics</t>
        </is>
      </c>
      <c r="J298" s="4" t="inlineStr">
        <is>
          <t>Gamme éclaircissante : à ne pas mettre en avant</t>
        </is>
      </c>
    </row>
    <row r="299" ht="70" customHeight="1">
      <c r="A299" s="4" t="inlineStr">
        <is>
          <t>Citrolight</t>
        </is>
      </c>
      <c r="B299" s="4" t="inlineStr"/>
      <c r="C299" s="4" t="inlineStr">
        <is>
          <t>Citrolight Lait</t>
        </is>
      </c>
      <c r="D299" s="4" t="inlineStr">
        <is>
          <t>Visage et corps</t>
        </is>
      </c>
      <c r="E299" s="4" t="inlineStr">
        <is>
          <t>Lait</t>
        </is>
      </c>
      <c r="F299" s="4" t="inlineStr">
        <is>
          <t>125-200-300-500 ml</t>
        </is>
      </c>
      <c r="G299" s="4">
        <f>IMAGE("https://raw.githubusercontent.com/leslita06/dreamcosmetics-maquette/main/photos/218.jpg")</f>
        <v/>
      </c>
      <c r="H299" s="4" t="inlineStr">
        <is>
          <t>http://dreamcosmetics.net/fr/product/visage-et-corps/lait/citrolight-lait</t>
        </is>
      </c>
      <c r="I299" s="4" t="inlineStr">
        <is>
          <t>Site Dream Cosmetics</t>
        </is>
      </c>
      <c r="J299" s="4" t="inlineStr">
        <is>
          <t>Gamme éclaircissante : à ne pas mettre en avant</t>
        </is>
      </c>
    </row>
    <row r="300" ht="70" customHeight="1">
      <c r="A300" s="4" t="inlineStr">
        <is>
          <t>Citrolight</t>
        </is>
      </c>
      <c r="B300" s="4" t="inlineStr"/>
      <c r="C300" s="4" t="inlineStr">
        <is>
          <t>Citrolight Savon</t>
        </is>
      </c>
      <c r="D300" s="4" t="inlineStr">
        <is>
          <t>Savon</t>
        </is>
      </c>
      <c r="E300" s="4" t="inlineStr">
        <is>
          <t>Savon</t>
        </is>
      </c>
      <c r="F300" s="5" t="inlineStr">
        <is>
          <t>à confirmer</t>
        </is>
      </c>
      <c r="G300" s="4">
        <f>IMAGE("https://raw.githubusercontent.com/leslita06/dreamcosmetics-maquette/main/photos/219.jpg")</f>
        <v/>
      </c>
      <c r="H300" s="4" t="inlineStr">
        <is>
          <t>http://dreamcosmetics.net/fr/product/visage-et-corps/savon/citrolight-savon</t>
        </is>
      </c>
      <c r="I300" s="4" t="inlineStr">
        <is>
          <t>Site Dream Cosmetics</t>
        </is>
      </c>
      <c r="J300" s="4" t="inlineStr">
        <is>
          <t>Gamme éclaircissante : à ne pas mettre en avant</t>
        </is>
      </c>
    </row>
    <row r="301" ht="70" customHeight="1">
      <c r="A301" s="4" t="inlineStr">
        <is>
          <t>Clairmen</t>
        </is>
      </c>
      <c r="B301" s="4" t="inlineStr"/>
      <c r="C301" s="4" t="inlineStr">
        <is>
          <t>Clairmen crème</t>
        </is>
      </c>
      <c r="D301" s="4" t="inlineStr">
        <is>
          <t>Homme</t>
        </is>
      </c>
      <c r="E301" s="4" t="inlineStr">
        <is>
          <t>Crème</t>
        </is>
      </c>
      <c r="F301" s="5" t="inlineStr">
        <is>
          <t>à confirmer</t>
        </is>
      </c>
      <c r="G301" s="4">
        <f>IMAGE("https://raw.githubusercontent.com/leslita06/dreamcosmetics-maquette/main/photos/76.jpg")</f>
        <v/>
      </c>
      <c r="H301" s="4" t="inlineStr">
        <is>
          <t>http://dreamcosmetics.net/fr/product/homme/cr%C3%A8me/clairmen-cr%C3%A8me</t>
        </is>
      </c>
      <c r="I301" s="4" t="inlineStr">
        <is>
          <t>Site Dream Cosmetics</t>
        </is>
      </c>
      <c r="J301" s="4" t="inlineStr">
        <is>
          <t>Gamme éclaircissante : à ne pas mettre en avant</t>
        </is>
      </c>
    </row>
    <row r="302" ht="70" customHeight="1">
      <c r="A302" s="4" t="inlineStr">
        <is>
          <t>Clairmen</t>
        </is>
      </c>
      <c r="B302" s="4" t="inlineStr"/>
      <c r="C302" s="4" t="inlineStr">
        <is>
          <t>Clairmen EDC</t>
        </is>
      </c>
      <c r="D302" s="4" t="inlineStr">
        <is>
          <t>Parfum</t>
        </is>
      </c>
      <c r="E302" s="4" t="inlineStr">
        <is>
          <t>Eau de cologne</t>
        </is>
      </c>
      <c r="F302" s="5" t="inlineStr">
        <is>
          <t>à confirmer</t>
        </is>
      </c>
      <c r="G302" s="4">
        <f>IMAGE("https://raw.githubusercontent.com/leslita06/dreamcosmetics-maquette/main/photos/248.jpg")</f>
        <v/>
      </c>
      <c r="H302" s="4" t="inlineStr">
        <is>
          <t>http://dreamcosmetics.net/fr/product/homme/eau-de-cologne/clairmen-edc</t>
        </is>
      </c>
      <c r="I302" s="4" t="inlineStr">
        <is>
          <t>Site Dream Cosmetics</t>
        </is>
      </c>
      <c r="J302" s="4" t="inlineStr">
        <is>
          <t>Gamme éclaircissante : à ne pas mettre en avant</t>
        </is>
      </c>
    </row>
    <row r="303" ht="70" customHeight="1">
      <c r="A303" s="4" t="inlineStr">
        <is>
          <t>Clairmen</t>
        </is>
      </c>
      <c r="B303" s="4" t="inlineStr"/>
      <c r="C303" s="4" t="inlineStr">
        <is>
          <t>Clairmen Gel douche</t>
        </is>
      </c>
      <c r="D303" s="4" t="inlineStr">
        <is>
          <t>Homme</t>
        </is>
      </c>
      <c r="E303" s="4" t="inlineStr">
        <is>
          <t>Gel douche</t>
        </is>
      </c>
      <c r="F303" s="5" t="inlineStr">
        <is>
          <t>à confirmer</t>
        </is>
      </c>
      <c r="G303" s="4">
        <f>IMAGE("https://raw.githubusercontent.com/leslita06/dreamcosmetics-maquette/main/photos/78.jpg")</f>
        <v/>
      </c>
      <c r="H303" s="4" t="inlineStr">
        <is>
          <t>http://dreamcosmetics.net/fr/product/homme/gel-douche/clairmen-gel-douche</t>
        </is>
      </c>
      <c r="I303" s="4" t="inlineStr">
        <is>
          <t>Site Dream Cosmetics</t>
        </is>
      </c>
      <c r="J303" s="4" t="inlineStr">
        <is>
          <t>Gamme éclaircissante : à ne pas mettre en avant</t>
        </is>
      </c>
    </row>
    <row r="304" ht="70" customHeight="1">
      <c r="A304" s="4" t="inlineStr">
        <is>
          <t>Clairmen</t>
        </is>
      </c>
      <c r="B304" s="4" t="inlineStr"/>
      <c r="C304" s="4" t="inlineStr">
        <is>
          <t>Clairmen Huile</t>
        </is>
      </c>
      <c r="D304" s="4" t="inlineStr">
        <is>
          <t>Homme</t>
        </is>
      </c>
      <c r="E304" s="4" t="inlineStr">
        <is>
          <t>Huile</t>
        </is>
      </c>
      <c r="F304" s="5" t="inlineStr">
        <is>
          <t>à confirmer</t>
        </is>
      </c>
      <c r="G304" s="4">
        <f>IMAGE("https://raw.githubusercontent.com/leslita06/dreamcosmetics-maquette/main/photos/79.jpg")</f>
        <v/>
      </c>
      <c r="H304" s="4" t="inlineStr">
        <is>
          <t>http://dreamcosmetics.net/fr/product/homme/huile/clairmen-huile</t>
        </is>
      </c>
      <c r="I304" s="4" t="inlineStr">
        <is>
          <t>Site Dream Cosmetics</t>
        </is>
      </c>
      <c r="J304" s="4" t="inlineStr">
        <is>
          <t>Gamme éclaircissante : à ne pas mettre en avant</t>
        </is>
      </c>
    </row>
    <row r="305" ht="70" customHeight="1">
      <c r="A305" s="4" t="inlineStr">
        <is>
          <t>Clairmen</t>
        </is>
      </c>
      <c r="B305" s="4" t="inlineStr"/>
      <c r="C305" s="4" t="inlineStr">
        <is>
          <t>Clairmen Lait</t>
        </is>
      </c>
      <c r="D305" s="4" t="inlineStr">
        <is>
          <t>Homme</t>
        </is>
      </c>
      <c r="E305" s="4" t="inlineStr">
        <is>
          <t>Lait</t>
        </is>
      </c>
      <c r="F305" s="5" t="inlineStr">
        <is>
          <t>à confirmer</t>
        </is>
      </c>
      <c r="G305" s="4">
        <f>IMAGE("https://raw.githubusercontent.com/leslita06/dreamcosmetics-maquette/main/photos/80.jpg")</f>
        <v/>
      </c>
      <c r="H305" s="4" t="inlineStr">
        <is>
          <t>http://dreamcosmetics.net/fr/product/homme/lait/clairmen-lait</t>
        </is>
      </c>
      <c r="I305" s="4" t="inlineStr">
        <is>
          <t>Site Dream Cosmetics</t>
        </is>
      </c>
      <c r="J305" s="4" t="inlineStr">
        <is>
          <t>Gamme éclaircissante : à ne pas mettre en avant</t>
        </is>
      </c>
    </row>
    <row r="306" ht="70" customHeight="1">
      <c r="A306" s="4" t="inlineStr">
        <is>
          <t>Clairmen</t>
        </is>
      </c>
      <c r="B306" s="4" t="inlineStr"/>
      <c r="C306" s="4" t="inlineStr">
        <is>
          <t>Clairmen Savon</t>
        </is>
      </c>
      <c r="D306" s="4" t="inlineStr">
        <is>
          <t>Savon</t>
        </is>
      </c>
      <c r="E306" s="4" t="inlineStr">
        <is>
          <t>Savon</t>
        </is>
      </c>
      <c r="F306" s="5" t="inlineStr">
        <is>
          <t>à confirmer</t>
        </is>
      </c>
      <c r="G306" s="4">
        <f>IMAGE("https://raw.githubusercontent.com/leslita06/dreamcosmetics-maquette/main/photos/81.jpg")</f>
        <v/>
      </c>
      <c r="H306" s="4" t="inlineStr">
        <is>
          <t>http://dreamcosmetics.net/fr/product/homme/savon/clairmen-savon</t>
        </is>
      </c>
      <c r="I306" s="4" t="inlineStr">
        <is>
          <t>Site Dream Cosmetics</t>
        </is>
      </c>
      <c r="J306" s="4" t="inlineStr">
        <is>
          <t>Gamme éclaircissante : à ne pas mettre en avant</t>
        </is>
      </c>
    </row>
    <row r="307" ht="70" customHeight="1">
      <c r="A307" s="4" t="inlineStr">
        <is>
          <t>Curcuma method</t>
        </is>
      </c>
      <c r="B307" s="4" t="inlineStr"/>
      <c r="C307" s="4" t="inlineStr">
        <is>
          <t>Curcuma method</t>
        </is>
      </c>
      <c r="D307" s="4" t="inlineStr">
        <is>
          <t>Visage et corps</t>
        </is>
      </c>
      <c r="E307" s="4" t="inlineStr">
        <is>
          <t>Lait</t>
        </is>
      </c>
      <c r="F307" s="5" t="inlineStr">
        <is>
          <t>à confirmer</t>
        </is>
      </c>
      <c r="G307" s="4">
        <f>IMAGE("https://raw.githubusercontent.com/leslita06/dreamcosmetics-maquette/main/photos/630.jpg")</f>
        <v/>
      </c>
      <c r="H307" s="4" t="inlineStr">
        <is>
          <t>http://dreamcosmetics.net/fr/product/visage-et-corps/lait/curcuma-method</t>
        </is>
      </c>
      <c r="I307" s="4" t="inlineStr">
        <is>
          <t>Site Dream Cosmetics</t>
        </is>
      </c>
      <c r="J307" s="4" t="inlineStr"/>
    </row>
    <row r="308" ht="70" customHeight="1">
      <c r="A308" s="4" t="inlineStr">
        <is>
          <t>Curcuma method</t>
        </is>
      </c>
      <c r="B308" s="4" t="inlineStr"/>
      <c r="C308" s="4" t="inlineStr">
        <is>
          <t>Curcuma method</t>
        </is>
      </c>
      <c r="D308" s="4" t="inlineStr">
        <is>
          <t>Visage et corps</t>
        </is>
      </c>
      <c r="E308" s="4" t="inlineStr">
        <is>
          <t>Lait</t>
        </is>
      </c>
      <c r="F308" s="4" t="inlineStr">
        <is>
          <t>120 - 250 ml</t>
        </is>
      </c>
      <c r="G308" s="4">
        <f>IMAGE("https://raw.githubusercontent.com/leslita06/dreamcosmetics-maquette/main/photos/666.jpg")</f>
        <v/>
      </c>
      <c r="H308" s="4" t="inlineStr">
        <is>
          <t>http://dreamcosmetics.net/fr/product/visage-et-corps/lait/curcuma-method-0</t>
        </is>
      </c>
      <c r="I308" s="4" t="inlineStr">
        <is>
          <t>Site Dream Cosmetics</t>
        </is>
      </c>
      <c r="J308" s="4" t="inlineStr"/>
    </row>
    <row r="309" ht="70" customHeight="1">
      <c r="A309" s="4" t="inlineStr">
        <is>
          <t>Curcuma method</t>
        </is>
      </c>
      <c r="B309" s="4" t="inlineStr"/>
      <c r="C309" s="4" t="inlineStr">
        <is>
          <t>Curcuma method</t>
        </is>
      </c>
      <c r="D309" s="4" t="inlineStr">
        <is>
          <t>Savon</t>
        </is>
      </c>
      <c r="E309" s="4" t="inlineStr">
        <is>
          <t>Savon de toilette</t>
        </is>
      </c>
      <c r="F309" s="4" t="inlineStr">
        <is>
          <t>180 g</t>
        </is>
      </c>
      <c r="G309" s="4">
        <f>IMAGE("https://raw.githubusercontent.com/leslita06/dreamcosmetics-maquette/main/photos/631.jpg")</f>
        <v/>
      </c>
      <c r="H309" s="4" t="inlineStr">
        <is>
          <t>http://dreamcosmetics.net/fr/product/visage-et-corps/savon-de-toilette/curcuma-method</t>
        </is>
      </c>
      <c r="I309" s="4" t="inlineStr">
        <is>
          <t>Site Dream Cosmetics</t>
        </is>
      </c>
      <c r="J309" s="4" t="inlineStr"/>
    </row>
    <row r="310" ht="70" customHeight="1">
      <c r="A310" s="4" t="inlineStr">
        <is>
          <t>Curcuma method</t>
        </is>
      </c>
      <c r="B310" s="4" t="inlineStr"/>
      <c r="C310" s="4" t="inlineStr">
        <is>
          <t>Curcuma method</t>
        </is>
      </c>
      <c r="D310" s="4" t="inlineStr">
        <is>
          <t>Visage et corps</t>
        </is>
      </c>
      <c r="E310" s="4" t="inlineStr">
        <is>
          <t>Huile</t>
        </is>
      </c>
      <c r="F310" s="4" t="inlineStr">
        <is>
          <t>50 ml</t>
        </is>
      </c>
      <c r="G310" s="4">
        <f>IMAGE("https://raw.githubusercontent.com/leslita06/dreamcosmetics-maquette/main/photos/632.jpg")</f>
        <v/>
      </c>
      <c r="H310" s="4" t="inlineStr">
        <is>
          <t>http://dreamcosmetics.net/fr/product/visage-et-corps/huile/curcuma-method</t>
        </is>
      </c>
      <c r="I310" s="4" t="inlineStr">
        <is>
          <t>Site Dream Cosmetics</t>
        </is>
      </c>
      <c r="J310" s="4" t="inlineStr"/>
    </row>
    <row r="311" ht="70" customHeight="1">
      <c r="A311" s="4" t="inlineStr">
        <is>
          <t>Curcuma method</t>
        </is>
      </c>
      <c r="B311" s="4" t="inlineStr"/>
      <c r="C311" s="4" t="inlineStr">
        <is>
          <t>Curcuma method</t>
        </is>
      </c>
      <c r="D311" s="4" t="inlineStr">
        <is>
          <t>Corps (douche)</t>
        </is>
      </c>
      <c r="E311" s="4" t="inlineStr">
        <is>
          <t>Gel douche</t>
        </is>
      </c>
      <c r="F311" s="4" t="inlineStr">
        <is>
          <t>450 ml</t>
        </is>
      </c>
      <c r="G311" s="4">
        <f>IMAGE("https://raw.githubusercontent.com/leslita06/dreamcosmetics-maquette/main/photos/633.jpg")</f>
        <v/>
      </c>
      <c r="H311" s="4" t="inlineStr">
        <is>
          <t>http://dreamcosmetics.net/fr/product/visage-et-corps/gel-douche/curcuma-method</t>
        </is>
      </c>
      <c r="I311" s="4" t="inlineStr">
        <is>
          <t>Site Dream Cosmetics</t>
        </is>
      </c>
      <c r="J311" s="4" t="inlineStr"/>
    </row>
    <row r="312" ht="70" customHeight="1">
      <c r="A312" s="4" t="inlineStr">
        <is>
          <t>Dr Wang</t>
        </is>
      </c>
      <c r="B312" s="4" t="inlineStr"/>
      <c r="C312" s="4" t="inlineStr">
        <is>
          <t>DR WANG Baume mentholé</t>
        </is>
      </c>
      <c r="D312" s="4" t="inlineStr">
        <is>
          <t>Soin spécifique</t>
        </is>
      </c>
      <c r="E312" s="4" t="inlineStr">
        <is>
          <t>Baume</t>
        </is>
      </c>
      <c r="F312" s="4" t="inlineStr">
        <is>
          <t>60 - 120 ml</t>
        </is>
      </c>
      <c r="G312" s="4">
        <f>IMAGE("https://raw.githubusercontent.com/leslita06/dreamcosmetics-maquette/main/photos/474.jpg")</f>
        <v/>
      </c>
      <c r="H312" s="4" t="inlineStr">
        <is>
          <t>http://dreamcosmetics.net/fr/product/soins-sp%C3%A9cifiques/baume/dr-wang-baume-menthol%C3%A9</t>
        </is>
      </c>
      <c r="I312" s="4" t="inlineStr">
        <is>
          <t>Site Dream Cosmetics</t>
        </is>
      </c>
      <c r="J312" s="4" t="inlineStr"/>
    </row>
    <row r="313" ht="70" customHeight="1">
      <c r="A313" s="4" t="inlineStr">
        <is>
          <t>Dr Wang</t>
        </is>
      </c>
      <c r="B313" s="4" t="inlineStr"/>
      <c r="C313" s="4" t="inlineStr">
        <is>
          <t>DR WANG Crème de massage mentholé</t>
        </is>
      </c>
      <c r="D313" s="4" t="inlineStr">
        <is>
          <t>Soin spécifique</t>
        </is>
      </c>
      <c r="E313" s="4" t="inlineStr">
        <is>
          <t>Crème</t>
        </is>
      </c>
      <c r="F313" s="4" t="inlineStr">
        <is>
          <t>60 - 120 ml</t>
        </is>
      </c>
      <c r="G313" s="4">
        <f>IMAGE("https://raw.githubusercontent.com/leslita06/dreamcosmetics-maquette/main/photos/482.jpg")</f>
        <v/>
      </c>
      <c r="H313" s="4" t="inlineStr">
        <is>
          <t>http://dreamcosmetics.net/fr/product/soins-sp%C3%A9cifiques/cr%C3%A8me/dr-wang-cr%C3%A8me-de-massage-menthol%C3%A9</t>
        </is>
      </c>
      <c r="I313" s="4" t="inlineStr">
        <is>
          <t>Site Dream Cosmetics</t>
        </is>
      </c>
      <c r="J313" s="4" t="inlineStr"/>
    </row>
    <row r="314" ht="70" customHeight="1">
      <c r="A314" s="4" t="inlineStr">
        <is>
          <t>Dr Wang</t>
        </is>
      </c>
      <c r="B314" s="4" t="inlineStr"/>
      <c r="C314" s="4" t="inlineStr">
        <is>
          <t>DR WANG Huile mentholée</t>
        </is>
      </c>
      <c r="D314" s="4" t="inlineStr">
        <is>
          <t>Soin spécifique</t>
        </is>
      </c>
      <c r="E314" s="4" t="inlineStr">
        <is>
          <t>Huile</t>
        </is>
      </c>
      <c r="F314" s="5" t="inlineStr">
        <is>
          <t>à confirmer</t>
        </is>
      </c>
      <c r="G314" s="4">
        <f>IMAGE("https://raw.githubusercontent.com/leslita06/dreamcosmetics-maquette/main/photos/480.jpg")</f>
        <v/>
      </c>
      <c r="H314" s="4" t="inlineStr">
        <is>
          <t>http://dreamcosmetics.net/fr/product/soins-sp%C3%A9cifiques/huile/dr-wang-huile-menthol%C3%A9e</t>
        </is>
      </c>
      <c r="I314" s="4" t="inlineStr">
        <is>
          <t>Site Dream Cosmetics</t>
        </is>
      </c>
      <c r="J314" s="4" t="inlineStr"/>
    </row>
    <row r="315" ht="70" customHeight="1">
      <c r="A315" s="4" t="inlineStr">
        <is>
          <t>Dr Wang</t>
        </is>
      </c>
      <c r="B315" s="4" t="inlineStr"/>
      <c r="C315" s="4" t="inlineStr">
        <is>
          <t>DR WANG Roll-on mentholé stop douleur</t>
        </is>
      </c>
      <c r="D315" s="4" t="inlineStr">
        <is>
          <t>Soin spécifique</t>
        </is>
      </c>
      <c r="E315" s="4" t="inlineStr">
        <is>
          <t>Roll-on</t>
        </is>
      </c>
      <c r="F315" s="4" t="inlineStr">
        <is>
          <t>7 ml</t>
        </is>
      </c>
      <c r="G315" s="4">
        <f>IMAGE("https://raw.githubusercontent.com/leslita06/dreamcosmetics-maquette/main/photos/481.jpg")</f>
        <v/>
      </c>
      <c r="H315" s="4" t="inlineStr">
        <is>
          <t>http://dreamcosmetics.net/fr/product/soins-sp%C3%A9cifiques/roll/dr-wang-roll-menthol%C3%A9-stop-douleur</t>
        </is>
      </c>
      <c r="I315" s="4" t="inlineStr">
        <is>
          <t>Site Dream Cosmetics</t>
        </is>
      </c>
      <c r="J315" s="4" t="inlineStr"/>
    </row>
    <row r="316" ht="70" customHeight="1">
      <c r="A316" s="4" t="inlineStr">
        <is>
          <t>Dr Wang</t>
        </is>
      </c>
      <c r="B316" s="4" t="inlineStr"/>
      <c r="C316" s="4" t="inlineStr">
        <is>
          <t>DR WANG Savon mentholé</t>
        </is>
      </c>
      <c r="D316" s="4" t="inlineStr">
        <is>
          <t>Savon</t>
        </is>
      </c>
      <c r="E316" s="4" t="inlineStr">
        <is>
          <t>Savon</t>
        </is>
      </c>
      <c r="F316" s="5" t="inlineStr">
        <is>
          <t>à confirmer</t>
        </is>
      </c>
      <c r="G316" s="4">
        <f>IMAGE("https://raw.githubusercontent.com/leslita06/dreamcosmetics-maquette/main/photos/478.jpg")</f>
        <v/>
      </c>
      <c r="H316" s="4" t="inlineStr">
        <is>
          <t>http://dreamcosmetics.net/fr/product/soins-sp%C3%A9cifiques/savon/dr-wang-savon-menthol%C3%A9</t>
        </is>
      </c>
      <c r="I316" s="4" t="inlineStr">
        <is>
          <t>Site Dream Cosmetics</t>
        </is>
      </c>
      <c r="J316" s="4" t="inlineStr"/>
    </row>
    <row r="317" ht="70" customHeight="1">
      <c r="A317" s="4" t="inlineStr">
        <is>
          <t>Dr Wang</t>
        </is>
      </c>
      <c r="B317" s="4" t="inlineStr"/>
      <c r="C317" s="4" t="inlineStr">
        <is>
          <t>DR WANG Talc mentholé</t>
        </is>
      </c>
      <c r="D317" s="4" t="inlineStr">
        <is>
          <t>Soin spécifique</t>
        </is>
      </c>
      <c r="E317" s="4" t="inlineStr">
        <is>
          <t>Talc</t>
        </is>
      </c>
      <c r="F317" s="5" t="inlineStr">
        <is>
          <t>à confirmer</t>
        </is>
      </c>
      <c r="G317" s="4">
        <f>IMAGE("https://raw.githubusercontent.com/leslita06/dreamcosmetics-maquette/main/photos/479.jpg")</f>
        <v/>
      </c>
      <c r="H317" s="4" t="inlineStr">
        <is>
          <t>http://dreamcosmetics.net/fr/product/soins-sp%C3%A9cifiques/talc/dr-wang-talc-menthol%C3%A9</t>
        </is>
      </c>
      <c r="I317" s="4" t="inlineStr">
        <is>
          <t>Site Dream Cosmetics</t>
        </is>
      </c>
      <c r="J317" s="4" t="inlineStr"/>
    </row>
    <row r="318" ht="70" customHeight="1">
      <c r="A318" s="4" t="inlineStr">
        <is>
          <t>Even Better</t>
        </is>
      </c>
      <c r="B318" s="4" t="inlineStr"/>
      <c r="C318" s="4" t="inlineStr">
        <is>
          <t>EVEN BETTER crème hydratante beurre de cacao</t>
        </is>
      </c>
      <c r="D318" s="4" t="inlineStr">
        <is>
          <t>Visage et corps</t>
        </is>
      </c>
      <c r="E318" s="4" t="inlineStr">
        <is>
          <t>Crème</t>
        </is>
      </c>
      <c r="F318" s="5" t="inlineStr">
        <is>
          <t>à confirmer</t>
        </is>
      </c>
      <c r="G318" s="4">
        <f>IMAGE("https://raw.githubusercontent.com/leslita06/dreamcosmetics-maquette/main/photos/450.jpg")</f>
        <v/>
      </c>
      <c r="H318" s="4" t="inlineStr">
        <is>
          <t>http://dreamcosmetics.net/fr/product/visage-et-corps/cr%C3%A8me/even-better-cr%C3%A8me-hydratante-beurre-de-cacao</t>
        </is>
      </c>
      <c r="I318" s="4" t="inlineStr">
        <is>
          <t>Site Dream Cosmetics</t>
        </is>
      </c>
      <c r="J318" s="4" t="inlineStr"/>
    </row>
    <row r="319" ht="70" customHeight="1">
      <c r="A319" s="4" t="inlineStr">
        <is>
          <t>Even Better</t>
        </is>
      </c>
      <c r="B319" s="4" t="inlineStr"/>
      <c r="C319" s="4" t="inlineStr">
        <is>
          <t>EVEN BETTER crème hydratante beurre de karité</t>
        </is>
      </c>
      <c r="D319" s="4" t="inlineStr">
        <is>
          <t>Visage et corps</t>
        </is>
      </c>
      <c r="E319" s="4" t="inlineStr">
        <is>
          <t>Crème</t>
        </is>
      </c>
      <c r="F319" s="4" t="inlineStr">
        <is>
          <t>120-300 ml</t>
        </is>
      </c>
      <c r="G319" s="4">
        <f>IMAGE("https://raw.githubusercontent.com/leslita06/dreamcosmetics-maquette/main/photos/452.jpg")</f>
        <v/>
      </c>
      <c r="H319" s="4" t="inlineStr">
        <is>
          <t>http://dreamcosmetics.net/fr/product/visage-et-corps/cr%C3%A8me/even-better-cr%C3%A8me-hydratante-beurre-de-karit%C3%A9</t>
        </is>
      </c>
      <c r="I319" s="4" t="inlineStr">
        <is>
          <t>Site Dream Cosmetics</t>
        </is>
      </c>
      <c r="J319" s="4" t="inlineStr"/>
    </row>
    <row r="320" ht="70" customHeight="1">
      <c r="A320" s="4" t="inlineStr">
        <is>
          <t>Even Better</t>
        </is>
      </c>
      <c r="B320" s="4" t="inlineStr"/>
      <c r="C320" s="4" t="inlineStr">
        <is>
          <t>EVEN BETTER Lait hydratant beurre de karité</t>
        </is>
      </c>
      <c r="D320" s="4" t="inlineStr">
        <is>
          <t>Visage et corps</t>
        </is>
      </c>
      <c r="E320" s="4" t="inlineStr">
        <is>
          <t>Lait</t>
        </is>
      </c>
      <c r="F320" s="5" t="inlineStr">
        <is>
          <t>à confirmer</t>
        </is>
      </c>
      <c r="G320" s="4">
        <f>IMAGE("https://raw.githubusercontent.com/leslita06/dreamcosmetics-maquette/main/photos/451.jpg")</f>
        <v/>
      </c>
      <c r="H320" s="4" t="inlineStr">
        <is>
          <t>http://dreamcosmetics.net/fr/product/visage-et-corps/lait/even-better-lait-hydratant-beurre-de-karit%C3%A9</t>
        </is>
      </c>
      <c r="I320" s="4" t="inlineStr">
        <is>
          <t>Site Dream Cosmetics</t>
        </is>
      </c>
      <c r="J320" s="4" t="inlineStr"/>
    </row>
    <row r="321" ht="70" customHeight="1">
      <c r="A321" s="4" t="inlineStr">
        <is>
          <t>Even Better</t>
        </is>
      </c>
      <c r="B321" s="4" t="inlineStr"/>
      <c r="C321" s="4" t="inlineStr">
        <is>
          <t>EVEN BETTER Lait hydratant cacao butter</t>
        </is>
      </c>
      <c r="D321" s="4" t="inlineStr">
        <is>
          <t>Visage et corps</t>
        </is>
      </c>
      <c r="E321" s="4" t="inlineStr">
        <is>
          <t>Lait</t>
        </is>
      </c>
      <c r="F321" s="5" t="inlineStr">
        <is>
          <t>à confirmer</t>
        </is>
      </c>
      <c r="G321" s="4">
        <f>IMAGE("https://raw.githubusercontent.com/leslita06/dreamcosmetics-maquette/main/photos/449.jpg")</f>
        <v/>
      </c>
      <c r="H321" s="4" t="inlineStr">
        <is>
          <t>http://dreamcosmetics.net/fr/product/visage-et-corps/lait/even-better-lait-hydratant-cacao-butter</t>
        </is>
      </c>
      <c r="I321" s="4" t="inlineStr">
        <is>
          <t>Site Dream Cosmetics</t>
        </is>
      </c>
      <c r="J321" s="4" t="inlineStr"/>
    </row>
    <row r="322" ht="70" customHeight="1">
      <c r="A322" s="4" t="inlineStr">
        <is>
          <t>Fres</t>
        </is>
      </c>
      <c r="B322" s="4" t="inlineStr"/>
      <c r="C322" s="4" t="inlineStr">
        <is>
          <t>Fres gel douche aloe vera</t>
        </is>
      </c>
      <c r="D322" s="4" t="inlineStr">
        <is>
          <t>Hygiène et bain</t>
        </is>
      </c>
      <c r="E322" s="4" t="inlineStr">
        <is>
          <t>Gel douche</t>
        </is>
      </c>
      <c r="F322" s="4" t="inlineStr">
        <is>
          <t>500 - 750 ml</t>
        </is>
      </c>
      <c r="G322" s="4">
        <f>IMAGE("https://raw.githubusercontent.com/leslita06/dreamcosmetics-maquette/main/photos/382.jpg")</f>
        <v/>
      </c>
      <c r="H322" s="4" t="inlineStr">
        <is>
          <t>http://dreamcosmetics.net/fr/product/hygi%C3%A8ne-et-bain/gel-douche/fres-gel-douche-aloe-vera</t>
        </is>
      </c>
      <c r="I322" s="4" t="inlineStr">
        <is>
          <t>Site Dream Cosmetics</t>
        </is>
      </c>
      <c r="J322" s="4" t="inlineStr"/>
    </row>
    <row r="323" ht="70" customHeight="1">
      <c r="A323" s="4" t="inlineStr">
        <is>
          <t>Fres</t>
        </is>
      </c>
      <c r="B323" s="4" t="inlineStr"/>
      <c r="C323" s="4" t="inlineStr">
        <is>
          <t>Fres gel douche cacao</t>
        </is>
      </c>
      <c r="D323" s="4" t="inlineStr">
        <is>
          <t>Hygiène et bain</t>
        </is>
      </c>
      <c r="E323" s="4" t="inlineStr">
        <is>
          <t>Gel douche</t>
        </is>
      </c>
      <c r="F323" s="4" t="inlineStr">
        <is>
          <t>500 - 750 ml</t>
        </is>
      </c>
      <c r="G323" s="4">
        <f>IMAGE("https://raw.githubusercontent.com/leslita06/dreamcosmetics-maquette/main/photos/385.jpg")</f>
        <v/>
      </c>
      <c r="H323" s="4" t="inlineStr">
        <is>
          <t>http://dreamcosmetics.net/fr/product/hygi%C3%A8ne-et-bain/gel-douche/fres-gel-douche-cacao</t>
        </is>
      </c>
      <c r="I323" s="4" t="inlineStr">
        <is>
          <t>Site Dream Cosmetics</t>
        </is>
      </c>
      <c r="J323" s="4" t="inlineStr"/>
    </row>
    <row r="324" ht="70" customHeight="1">
      <c r="A324" s="4" t="inlineStr">
        <is>
          <t>Fres</t>
        </is>
      </c>
      <c r="B324" s="4" t="inlineStr"/>
      <c r="C324" s="4" t="inlineStr">
        <is>
          <t>Fres gel douche coco</t>
        </is>
      </c>
      <c r="D324" s="4" t="inlineStr">
        <is>
          <t>Hygiène et bain</t>
        </is>
      </c>
      <c r="E324" s="4" t="inlineStr">
        <is>
          <t>Gel douche</t>
        </is>
      </c>
      <c r="F324" s="4" t="inlineStr">
        <is>
          <t>500 - 750 ml</t>
        </is>
      </c>
      <c r="G324" s="4">
        <f>IMAGE("https://raw.githubusercontent.com/leslita06/dreamcosmetics-maquette/main/photos/386.jpg")</f>
        <v/>
      </c>
      <c r="H324" s="4" t="inlineStr">
        <is>
          <t>http://dreamcosmetics.net/fr/product/hygi%C3%A8ne-et-bain/gel-douche/fres-gel-douche-coco</t>
        </is>
      </c>
      <c r="I324" s="4" t="inlineStr">
        <is>
          <t>Site Dream Cosmetics</t>
        </is>
      </c>
      <c r="J324" s="4" t="inlineStr"/>
    </row>
    <row r="325" ht="70" customHeight="1">
      <c r="A325" s="4" t="inlineStr">
        <is>
          <t>Fres</t>
        </is>
      </c>
      <c r="B325" s="4" t="inlineStr"/>
      <c r="C325" s="4" t="inlineStr">
        <is>
          <t>fres gel douche marine</t>
        </is>
      </c>
      <c r="D325" s="4" t="inlineStr">
        <is>
          <t>Hygiène et bain</t>
        </is>
      </c>
      <c r="E325" s="4" t="inlineStr">
        <is>
          <t>Gel douche</t>
        </is>
      </c>
      <c r="F325" s="4" t="inlineStr">
        <is>
          <t>500 - 750 ml</t>
        </is>
      </c>
      <c r="G325" s="4">
        <f>IMAGE("https://raw.githubusercontent.com/leslita06/dreamcosmetics-maquette/main/photos/383.jpg")</f>
        <v/>
      </c>
      <c r="H325" s="4" t="inlineStr">
        <is>
          <t>http://dreamcosmetics.net/fr/product/hygi%C3%A8ne-et-bain/gel-douche/fres-gel-douche-marine</t>
        </is>
      </c>
      <c r="I325" s="4" t="inlineStr">
        <is>
          <t>Site Dream Cosmetics</t>
        </is>
      </c>
      <c r="J325" s="4" t="inlineStr"/>
    </row>
    <row r="326" ht="70" customHeight="1">
      <c r="A326" s="4" t="inlineStr">
        <is>
          <t>Fres</t>
        </is>
      </c>
      <c r="B326" s="4" t="inlineStr"/>
      <c r="C326" s="4" t="inlineStr">
        <is>
          <t>Fres gel douche rose</t>
        </is>
      </c>
      <c r="D326" s="4" t="inlineStr">
        <is>
          <t>Hygiène et bain</t>
        </is>
      </c>
      <c r="E326" s="4" t="inlineStr">
        <is>
          <t>Gel douche</t>
        </is>
      </c>
      <c r="F326" s="4" t="inlineStr">
        <is>
          <t>500 - 750 ml</t>
        </is>
      </c>
      <c r="G326" s="4">
        <f>IMAGE("https://raw.githubusercontent.com/leslita06/dreamcosmetics-maquette/main/photos/384.jpg")</f>
        <v/>
      </c>
      <c r="H326" s="4" t="inlineStr">
        <is>
          <t>http://dreamcosmetics.net/fr/product/hygi%C3%A8ne-et-bain/gel-douche/fres-gel-douche-rose</t>
        </is>
      </c>
      <c r="I326" s="4" t="inlineStr">
        <is>
          <t>Site Dream Cosmetics</t>
        </is>
      </c>
      <c r="J326" s="4" t="inlineStr"/>
    </row>
    <row r="327" ht="70" customHeight="1">
      <c r="A327" s="4" t="inlineStr">
        <is>
          <t>Fres</t>
        </is>
      </c>
      <c r="B327" s="4" t="inlineStr"/>
      <c r="C327" s="4" t="inlineStr">
        <is>
          <t>Fres savon cacao</t>
        </is>
      </c>
      <c r="D327" s="4" t="inlineStr">
        <is>
          <t>Savon</t>
        </is>
      </c>
      <c r="E327" s="4" t="inlineStr">
        <is>
          <t>Savon</t>
        </is>
      </c>
      <c r="F327" s="5" t="inlineStr">
        <is>
          <t>à confirmer</t>
        </is>
      </c>
      <c r="G327" s="4">
        <f>IMAGE("https://raw.githubusercontent.com/leslita06/dreamcosmetics-maquette/main/photos/379.jpg")</f>
        <v/>
      </c>
      <c r="H327" s="4" t="inlineStr">
        <is>
          <t>http://dreamcosmetics.net/fr/product/hygi%C3%A8ne-et-bain/savon/fres-savon-cacao</t>
        </is>
      </c>
      <c r="I327" s="4" t="inlineStr">
        <is>
          <t>Site Dream Cosmetics</t>
        </is>
      </c>
      <c r="J327" s="4" t="inlineStr"/>
    </row>
    <row r="328" ht="70" customHeight="1">
      <c r="A328" s="4" t="inlineStr">
        <is>
          <t>Fres</t>
        </is>
      </c>
      <c r="B328" s="4" t="inlineStr"/>
      <c r="C328" s="4" t="inlineStr">
        <is>
          <t>Fres savon citron</t>
        </is>
      </c>
      <c r="D328" s="4" t="inlineStr">
        <is>
          <t>Savon</t>
        </is>
      </c>
      <c r="E328" s="4" t="inlineStr">
        <is>
          <t>Savon</t>
        </is>
      </c>
      <c r="F328" s="5" t="inlineStr">
        <is>
          <t>à confirmer</t>
        </is>
      </c>
      <c r="G328" s="4">
        <f>IMAGE("https://raw.githubusercontent.com/leslita06/dreamcosmetics-maquette/main/photos/380.jpg")</f>
        <v/>
      </c>
      <c r="H328" s="4" t="inlineStr">
        <is>
          <t>http://dreamcosmetics.net/fr/product/hygi%C3%A8ne-et-bain/savon/fres-savon-citron</t>
        </is>
      </c>
      <c r="I328" s="4" t="inlineStr">
        <is>
          <t>Site Dream Cosmetics</t>
        </is>
      </c>
      <c r="J328" s="4" t="inlineStr"/>
    </row>
    <row r="329" ht="70" customHeight="1">
      <c r="A329" s="4" t="inlineStr">
        <is>
          <t>Fres</t>
        </is>
      </c>
      <c r="B329" s="4" t="inlineStr"/>
      <c r="C329" s="4" t="inlineStr">
        <is>
          <t>fres savon de toilette aloe vera</t>
        </is>
      </c>
      <c r="D329" s="4" t="inlineStr">
        <is>
          <t>Savon</t>
        </is>
      </c>
      <c r="E329" s="4" t="inlineStr">
        <is>
          <t>Savon</t>
        </is>
      </c>
      <c r="F329" s="5" t="inlineStr">
        <is>
          <t>à confirmer</t>
        </is>
      </c>
      <c r="G329" s="4">
        <f>IMAGE("https://raw.githubusercontent.com/leslita06/dreamcosmetics-maquette/main/photos/376.jpg")</f>
        <v/>
      </c>
      <c r="H329" s="4" t="inlineStr">
        <is>
          <t>http://dreamcosmetics.net/fr/product/hygi%C3%A8ne-et-bain/savon/fres-savon-de-toilette-aloe-vera</t>
        </is>
      </c>
      <c r="I329" s="4" t="inlineStr">
        <is>
          <t>Site Dream Cosmetics</t>
        </is>
      </c>
      <c r="J329" s="4" t="inlineStr"/>
    </row>
    <row r="330" ht="70" customHeight="1">
      <c r="A330" s="4" t="inlineStr">
        <is>
          <t>Fres</t>
        </is>
      </c>
      <c r="B330" s="4" t="inlineStr"/>
      <c r="C330" s="4" t="inlineStr">
        <is>
          <t>Fres savon de toilette marine</t>
        </is>
      </c>
      <c r="D330" s="4" t="inlineStr">
        <is>
          <t>Savon</t>
        </is>
      </c>
      <c r="E330" s="4" t="inlineStr">
        <is>
          <t>Savon</t>
        </is>
      </c>
      <c r="F330" s="5" t="inlineStr">
        <is>
          <t>à confirmer</t>
        </is>
      </c>
      <c r="G330" s="4">
        <f>IMAGE("https://raw.githubusercontent.com/leslita06/dreamcosmetics-maquette/main/photos/377.jpg")</f>
        <v/>
      </c>
      <c r="H330" s="4" t="inlineStr">
        <is>
          <t>http://dreamcosmetics.net/fr/product/hygi%C3%A8ne-et-bain/savon/fres-savon-de-toilette-marine</t>
        </is>
      </c>
      <c r="I330" s="4" t="inlineStr">
        <is>
          <t>Site Dream Cosmetics</t>
        </is>
      </c>
      <c r="J330" s="4" t="inlineStr"/>
    </row>
    <row r="331" ht="70" customHeight="1">
      <c r="A331" s="4" t="inlineStr">
        <is>
          <t>Fres</t>
        </is>
      </c>
      <c r="B331" s="4" t="inlineStr"/>
      <c r="C331" s="4" t="inlineStr">
        <is>
          <t>Fres savon de toilette rose</t>
        </is>
      </c>
      <c r="D331" s="4" t="inlineStr">
        <is>
          <t>Savon</t>
        </is>
      </c>
      <c r="E331" s="4" t="inlineStr">
        <is>
          <t>Savon</t>
        </is>
      </c>
      <c r="F331" s="5" t="inlineStr">
        <is>
          <t>à confirmer</t>
        </is>
      </c>
      <c r="G331" s="4">
        <f>IMAGE("https://raw.githubusercontent.com/leslita06/dreamcosmetics-maquette/main/photos/378.jpg")</f>
        <v/>
      </c>
      <c r="H331" s="4" t="inlineStr">
        <is>
          <t>http://dreamcosmetics.net/fr/product/hygi%C3%A8ne-et-bain/savon/fres-savon-de-toilette-rose</t>
        </is>
      </c>
      <c r="I331" s="4" t="inlineStr">
        <is>
          <t>Site Dream Cosmetics</t>
        </is>
      </c>
      <c r="J331" s="4" t="inlineStr"/>
    </row>
    <row r="332" ht="70" customHeight="1">
      <c r="A332" s="4" t="inlineStr">
        <is>
          <t>Fres</t>
        </is>
      </c>
      <c r="B332" s="4" t="inlineStr"/>
      <c r="C332" s="4" t="inlineStr">
        <is>
          <t>Fres savon fruité au lait aloe</t>
        </is>
      </c>
      <c r="D332" s="4" t="inlineStr">
        <is>
          <t>Savon</t>
        </is>
      </c>
      <c r="E332" s="4" t="inlineStr">
        <is>
          <t>Savon</t>
        </is>
      </c>
      <c r="F332" s="5" t="inlineStr">
        <is>
          <t>à confirmer</t>
        </is>
      </c>
      <c r="G332" s="4">
        <f>IMAGE("https://raw.githubusercontent.com/leslita06/dreamcosmetics-maquette/main/photos/606.jpg")</f>
        <v/>
      </c>
      <c r="H332" s="4" t="inlineStr">
        <is>
          <t>http://dreamcosmetics.net/fr/product/hygi%C3%A8ne-et-bain/savon/fres-savon-fruit%C3%A9-au-lait-aloe</t>
        </is>
      </c>
      <c r="I332" s="4" t="inlineStr">
        <is>
          <t>Site Dream Cosmetics</t>
        </is>
      </c>
      <c r="J332" s="4" t="inlineStr"/>
    </row>
    <row r="333" ht="70" customHeight="1">
      <c r="A333" s="4" t="inlineStr">
        <is>
          <t>Fres</t>
        </is>
      </c>
      <c r="B333" s="4" t="inlineStr"/>
      <c r="C333" s="4" t="inlineStr">
        <is>
          <t>Fres savon fruité au lait citron</t>
        </is>
      </c>
      <c r="D333" s="4" t="inlineStr">
        <is>
          <t>Savon</t>
        </is>
      </c>
      <c r="E333" s="4" t="inlineStr">
        <is>
          <t>Savon</t>
        </is>
      </c>
      <c r="F333" s="5" t="inlineStr">
        <is>
          <t>à confirmer</t>
        </is>
      </c>
      <c r="G333" s="4">
        <f>IMAGE("https://raw.githubusercontent.com/leslita06/dreamcosmetics-maquette/main/photos/603.jpg")</f>
        <v/>
      </c>
      <c r="H333" s="4" t="inlineStr">
        <is>
          <t>http://dreamcosmetics.net/fr/product/hygi%C3%A8ne-et-bain/savon/fres-savon-fruit%C3%A9-au-lait-citron</t>
        </is>
      </c>
      <c r="I333" s="4" t="inlineStr">
        <is>
          <t>Site Dream Cosmetics</t>
        </is>
      </c>
      <c r="J333" s="4" t="inlineStr"/>
    </row>
    <row r="334" ht="70" customHeight="1">
      <c r="A334" s="4" t="inlineStr">
        <is>
          <t>Fres</t>
        </is>
      </c>
      <c r="B334" s="4" t="inlineStr"/>
      <c r="C334" s="4" t="inlineStr">
        <is>
          <t>Fres savon fruité au lait fruits rouges</t>
        </is>
      </c>
      <c r="D334" s="4" t="inlineStr">
        <is>
          <t>Savon</t>
        </is>
      </c>
      <c r="E334" s="4" t="inlineStr">
        <is>
          <t>Savon</t>
        </is>
      </c>
      <c r="F334" s="5" t="inlineStr">
        <is>
          <t>à confirmer</t>
        </is>
      </c>
      <c r="G334" s="4">
        <f>IMAGE("https://raw.githubusercontent.com/leslita06/dreamcosmetics-maquette/main/photos/604.jpg")</f>
        <v/>
      </c>
      <c r="H334" s="4" t="inlineStr">
        <is>
          <t>http://dreamcosmetics.net/fr/product/hygi%C3%A8ne-et-bain/savon/fres-savon-fruit%C3%A9-au-lait-fruits-rouges</t>
        </is>
      </c>
      <c r="I334" s="4" t="inlineStr">
        <is>
          <t>Site Dream Cosmetics</t>
        </is>
      </c>
      <c r="J334" s="4" t="inlineStr"/>
    </row>
    <row r="335" ht="70" customHeight="1">
      <c r="A335" s="4" t="inlineStr">
        <is>
          <t>Fres</t>
        </is>
      </c>
      <c r="B335" s="4" t="inlineStr"/>
      <c r="C335" s="4" t="inlineStr">
        <is>
          <t>Fres savon fruité au lait orange</t>
        </is>
      </c>
      <c r="D335" s="4" t="inlineStr">
        <is>
          <t>Savon</t>
        </is>
      </c>
      <c r="E335" s="4" t="inlineStr">
        <is>
          <t>Savon</t>
        </is>
      </c>
      <c r="F335" s="5" t="inlineStr">
        <is>
          <t>à confirmer</t>
        </is>
      </c>
      <c r="G335" s="4">
        <f>IMAGE("https://raw.githubusercontent.com/leslita06/dreamcosmetics-maquette/main/photos/605.jpg")</f>
        <v/>
      </c>
      <c r="H335" s="4" t="inlineStr">
        <is>
          <t>http://dreamcosmetics.net/fr/product/hygi%C3%A8ne-et-bain/savon/fres-savon-fruit%C3%A9-au-lait-orange</t>
        </is>
      </c>
      <c r="I335" s="4" t="inlineStr">
        <is>
          <t>Site Dream Cosmetics</t>
        </is>
      </c>
      <c r="J335" s="4" t="inlineStr"/>
    </row>
    <row r="336" ht="70" customHeight="1">
      <c r="A336" s="4" t="inlineStr">
        <is>
          <t>Fres</t>
        </is>
      </c>
      <c r="B336" s="4" t="inlineStr"/>
      <c r="C336" s="4" t="inlineStr">
        <is>
          <t>Fres savon liquide aloe vera</t>
        </is>
      </c>
      <c r="D336" s="4" t="inlineStr">
        <is>
          <t>Savon</t>
        </is>
      </c>
      <c r="E336" s="4" t="inlineStr">
        <is>
          <t>Savon liquide</t>
        </is>
      </c>
      <c r="F336" s="5" t="inlineStr">
        <is>
          <t>à confirmer</t>
        </is>
      </c>
      <c r="G336" s="4">
        <f>IMAGE("https://raw.githubusercontent.com/leslita06/dreamcosmetics-maquette/main/photos/387.jpg")</f>
        <v/>
      </c>
      <c r="H336" s="4" t="inlineStr">
        <is>
          <t>http://dreamcosmetics.net/fr/product/hygi%C3%A8ne-et-bain/savon-liquide/fres-savon-liquide-aloe-vera</t>
        </is>
      </c>
      <c r="I336" s="4" t="inlineStr">
        <is>
          <t>Site Dream Cosmetics</t>
        </is>
      </c>
      <c r="J336" s="4" t="inlineStr"/>
    </row>
    <row r="337" ht="70" customHeight="1">
      <c r="A337" s="4" t="inlineStr">
        <is>
          <t>Fres</t>
        </is>
      </c>
      <c r="B337" s="4" t="inlineStr"/>
      <c r="C337" s="4" t="inlineStr">
        <is>
          <t>Fres savon liquide cacao</t>
        </is>
      </c>
      <c r="D337" s="4" t="inlineStr">
        <is>
          <t>Savon</t>
        </is>
      </c>
      <c r="E337" s="4" t="inlineStr">
        <is>
          <t>Savon liquide</t>
        </is>
      </c>
      <c r="F337" s="5" t="inlineStr">
        <is>
          <t>à confirmer</t>
        </is>
      </c>
      <c r="G337" s="4">
        <f>IMAGE("https://raw.githubusercontent.com/leslita06/dreamcosmetics-maquette/main/photos/390.jpg")</f>
        <v/>
      </c>
      <c r="H337" s="4" t="inlineStr">
        <is>
          <t>http://dreamcosmetics.net/fr/product/hygi%C3%A8ne-et-bain/savon-liquide/fres-savon-liquide-cacao</t>
        </is>
      </c>
      <c r="I337" s="4" t="inlineStr">
        <is>
          <t>Site Dream Cosmetics</t>
        </is>
      </c>
      <c r="J337" s="4" t="inlineStr"/>
    </row>
    <row r="338" ht="70" customHeight="1">
      <c r="A338" s="4" t="inlineStr">
        <is>
          <t>Fres</t>
        </is>
      </c>
      <c r="B338" s="4" t="inlineStr"/>
      <c r="C338" s="4" t="inlineStr">
        <is>
          <t>Fres savon liquide coco</t>
        </is>
      </c>
      <c r="D338" s="4" t="inlineStr">
        <is>
          <t>Savon</t>
        </is>
      </c>
      <c r="E338" s="4" t="inlineStr">
        <is>
          <t>Savon liquide</t>
        </is>
      </c>
      <c r="F338" s="4" t="inlineStr">
        <is>
          <t>350 ml</t>
        </is>
      </c>
      <c r="G338" s="4">
        <f>IMAGE("https://raw.githubusercontent.com/leslita06/dreamcosmetics-maquette/main/photos/391.jpg")</f>
        <v/>
      </c>
      <c r="H338" s="4" t="inlineStr">
        <is>
          <t>http://dreamcosmetics.net/fr/product/hygi%C3%A8ne-et-bain/savon-liquide/fres-savon-liquide-coco</t>
        </is>
      </c>
      <c r="I338" s="4" t="inlineStr">
        <is>
          <t>Site Dream Cosmetics</t>
        </is>
      </c>
      <c r="J338" s="4" t="inlineStr"/>
    </row>
    <row r="339" ht="70" customHeight="1">
      <c r="A339" s="4" t="inlineStr">
        <is>
          <t>Fres</t>
        </is>
      </c>
      <c r="B339" s="4" t="inlineStr"/>
      <c r="C339" s="4" t="inlineStr">
        <is>
          <t>Fres savon liquide fruits rouges</t>
        </is>
      </c>
      <c r="D339" s="4" t="inlineStr">
        <is>
          <t>Savon</t>
        </is>
      </c>
      <c r="E339" s="4" t="inlineStr">
        <is>
          <t>Savon liquide</t>
        </is>
      </c>
      <c r="F339" s="4" t="inlineStr">
        <is>
          <t>350 ml</t>
        </is>
      </c>
      <c r="G339" s="4">
        <f>IMAGE("https://raw.githubusercontent.com/leslita06/dreamcosmetics-maquette/main/photos/392.jpg")</f>
        <v/>
      </c>
      <c r="H339" s="4" t="inlineStr">
        <is>
          <t>http://dreamcosmetics.net/fr/product/hygi%C3%A8ne-et-bain/savon-liquide/fres-savon-liquide-fruits-rouges</t>
        </is>
      </c>
      <c r="I339" s="4" t="inlineStr">
        <is>
          <t>Site Dream Cosmetics</t>
        </is>
      </c>
      <c r="J339" s="4" t="inlineStr"/>
    </row>
    <row r="340" ht="70" customHeight="1">
      <c r="A340" s="4" t="inlineStr">
        <is>
          <t>Fres</t>
        </is>
      </c>
      <c r="B340" s="4" t="inlineStr"/>
      <c r="C340" s="4" t="inlineStr">
        <is>
          <t>fres savon liquide marine</t>
        </is>
      </c>
      <c r="D340" s="4" t="inlineStr">
        <is>
          <t>Savon</t>
        </is>
      </c>
      <c r="E340" s="4" t="inlineStr">
        <is>
          <t>Savon liquide</t>
        </is>
      </c>
      <c r="F340" s="4" t="inlineStr">
        <is>
          <t>350 ml</t>
        </is>
      </c>
      <c r="G340" s="4">
        <f>IMAGE("https://raw.githubusercontent.com/leslita06/dreamcosmetics-maquette/main/photos/388.jpg")</f>
        <v/>
      </c>
      <c r="H340" s="4" t="inlineStr">
        <is>
          <t>http://dreamcosmetics.net/fr/product/hygi%C3%A8ne-et-bain/savon-liquide/fres-savon-liquide-marine</t>
        </is>
      </c>
      <c r="I340" s="4" t="inlineStr">
        <is>
          <t>Site Dream Cosmetics</t>
        </is>
      </c>
      <c r="J340" s="4" t="inlineStr"/>
    </row>
    <row r="341" ht="70" customHeight="1">
      <c r="A341" s="4" t="inlineStr">
        <is>
          <t>Fres</t>
        </is>
      </c>
      <c r="B341" s="4" t="inlineStr"/>
      <c r="C341" s="4" t="inlineStr">
        <is>
          <t>Fres savon liquide rose</t>
        </is>
      </c>
      <c r="D341" s="4" t="inlineStr">
        <is>
          <t>Savon</t>
        </is>
      </c>
      <c r="E341" s="4" t="inlineStr">
        <is>
          <t>Savon liquide</t>
        </is>
      </c>
      <c r="F341" s="4" t="inlineStr">
        <is>
          <t>350 ml</t>
        </is>
      </c>
      <c r="G341" s="4">
        <f>IMAGE("https://raw.githubusercontent.com/leslita06/dreamcosmetics-maquette/main/photos/389.jpg")</f>
        <v/>
      </c>
      <c r="H341" s="4" t="inlineStr">
        <is>
          <t>http://dreamcosmetics.net/fr/product/hygi%C3%A8ne-et-bain/savon-liquide/fres-savon-liquide-rose</t>
        </is>
      </c>
      <c r="I341" s="4" t="inlineStr">
        <is>
          <t>Site Dream Cosmetics</t>
        </is>
      </c>
      <c r="J341" s="4" t="inlineStr"/>
    </row>
    <row r="342" ht="70" customHeight="1">
      <c r="A342" s="4" t="inlineStr">
        <is>
          <t>Fres</t>
        </is>
      </c>
      <c r="B342" s="4" t="inlineStr"/>
      <c r="C342" s="4" t="inlineStr">
        <is>
          <t>fres savon raisin</t>
        </is>
      </c>
      <c r="D342" s="4" t="inlineStr">
        <is>
          <t>Savon</t>
        </is>
      </c>
      <c r="E342" s="4" t="inlineStr">
        <is>
          <t>Savon</t>
        </is>
      </c>
      <c r="F342" s="4" t="inlineStr">
        <is>
          <t>75 gr</t>
        </is>
      </c>
      <c r="G342" s="4">
        <f>IMAGE("https://raw.githubusercontent.com/leslita06/dreamcosmetics-maquette/main/photos/381.jpg")</f>
        <v/>
      </c>
      <c r="H342" s="4" t="inlineStr">
        <is>
          <t>http://dreamcosmetics.net/fr/product/hygi%C3%A8ne-et-bain/savon/fres-savon-raisin</t>
        </is>
      </c>
      <c r="I342" s="4" t="inlineStr">
        <is>
          <t>Site Dream Cosmetics</t>
        </is>
      </c>
      <c r="J342" s="4" t="inlineStr"/>
    </row>
    <row r="343" ht="70" customHeight="1">
      <c r="A343" s="4" t="inlineStr">
        <is>
          <t>Hit</t>
        </is>
      </c>
      <c r="B343" s="4" t="inlineStr"/>
      <c r="C343" s="4" t="inlineStr">
        <is>
          <t>HIT DIVA</t>
        </is>
      </c>
      <c r="D343" s="4" t="inlineStr">
        <is>
          <t>Parfum</t>
        </is>
      </c>
      <c r="E343" s="4" t="inlineStr">
        <is>
          <t>Eau de parfum</t>
        </is>
      </c>
      <c r="F343" s="5" t="inlineStr">
        <is>
          <t>à confirmer</t>
        </is>
      </c>
      <c r="G343" s="4">
        <f>IMAGE("https://raw.githubusercontent.com/leslita06/dreamcosmetics-maquette/main/photos/466.jpg")</f>
        <v/>
      </c>
      <c r="H343" s="4" t="inlineStr">
        <is>
          <t>http://dreamcosmetics.net/fr/product/parfum/eau-de-parfum/hit-diva</t>
        </is>
      </c>
      <c r="I343" s="4" t="inlineStr">
        <is>
          <t>Site Dream Cosmetics</t>
        </is>
      </c>
      <c r="J343" s="4" t="inlineStr"/>
    </row>
    <row r="344" ht="70" customHeight="1">
      <c r="A344" s="4" t="inlineStr">
        <is>
          <t>Hit</t>
        </is>
      </c>
      <c r="B344" s="4" t="inlineStr"/>
      <c r="C344" s="4" t="inlineStr">
        <is>
          <t>HIT FEVER</t>
        </is>
      </c>
      <c r="D344" s="4" t="inlineStr">
        <is>
          <t>Parfum</t>
        </is>
      </c>
      <c r="E344" s="4" t="inlineStr">
        <is>
          <t>Eau de parfum</t>
        </is>
      </c>
      <c r="F344" s="5" t="inlineStr">
        <is>
          <t>à confirmer</t>
        </is>
      </c>
      <c r="G344" s="4">
        <f>IMAGE("https://raw.githubusercontent.com/leslita06/dreamcosmetics-maquette/main/photos/463.jpg")</f>
        <v/>
      </c>
      <c r="H344" s="4" t="inlineStr">
        <is>
          <t>http://dreamcosmetics.net/fr/product/parfum/eau-de-parfum/hit-fever</t>
        </is>
      </c>
      <c r="I344" s="4" t="inlineStr">
        <is>
          <t>Site Dream Cosmetics</t>
        </is>
      </c>
      <c r="J344" s="4" t="inlineStr"/>
    </row>
    <row r="345" ht="70" customHeight="1">
      <c r="A345" s="4" t="inlineStr">
        <is>
          <t>Hit</t>
        </is>
      </c>
      <c r="B345" s="4" t="inlineStr"/>
      <c r="C345" s="4" t="inlineStr">
        <is>
          <t>HIT Hero</t>
        </is>
      </c>
      <c r="D345" s="4" t="inlineStr">
        <is>
          <t>Parfum</t>
        </is>
      </c>
      <c r="E345" s="4" t="inlineStr">
        <is>
          <t>Eau de parfum</t>
        </is>
      </c>
      <c r="F345" s="5" t="inlineStr">
        <is>
          <t>à confirmer</t>
        </is>
      </c>
      <c r="G345" s="4">
        <f>IMAGE("https://raw.githubusercontent.com/leslita06/dreamcosmetics-maquette/main/photos/462.jpg")</f>
        <v/>
      </c>
      <c r="H345" s="4" t="inlineStr">
        <is>
          <t>http://dreamcosmetics.net/fr/product/parfum/eau-de-parfum/hit-hero</t>
        </is>
      </c>
      <c r="I345" s="4" t="inlineStr">
        <is>
          <t>Site Dream Cosmetics</t>
        </is>
      </c>
      <c r="J345" s="4" t="inlineStr"/>
    </row>
    <row r="346" ht="70" customHeight="1">
      <c r="A346" s="4" t="inlineStr">
        <is>
          <t>Hit</t>
        </is>
      </c>
      <c r="B346" s="4" t="inlineStr"/>
      <c r="C346" s="4" t="inlineStr">
        <is>
          <t>HIT KING</t>
        </is>
      </c>
      <c r="D346" s="4" t="inlineStr">
        <is>
          <t>Parfum</t>
        </is>
      </c>
      <c r="E346" s="4" t="inlineStr">
        <is>
          <t>Eau de parfum</t>
        </is>
      </c>
      <c r="F346" s="5" t="inlineStr">
        <is>
          <t>à confirmer</t>
        </is>
      </c>
      <c r="G346" s="4">
        <f>IMAGE("https://raw.githubusercontent.com/leslita06/dreamcosmetics-maquette/main/photos/465.jpg")</f>
        <v/>
      </c>
      <c r="H346" s="4" t="inlineStr">
        <is>
          <t>http://dreamcosmetics.net/fr/product/parfum/eau-de-parfum/hit-king</t>
        </is>
      </c>
      <c r="I346" s="4" t="inlineStr">
        <is>
          <t>Site Dream Cosmetics</t>
        </is>
      </c>
      <c r="J346" s="4" t="inlineStr"/>
    </row>
    <row r="347" ht="70" customHeight="1">
      <c r="A347" s="4" t="inlineStr">
        <is>
          <t>Hit</t>
        </is>
      </c>
      <c r="B347" s="4" t="inlineStr"/>
      <c r="C347" s="4" t="inlineStr">
        <is>
          <t>HIT SPARK</t>
        </is>
      </c>
      <c r="D347" s="4" t="inlineStr">
        <is>
          <t>Parfum</t>
        </is>
      </c>
      <c r="E347" s="4" t="inlineStr">
        <is>
          <t>Eau de parfum</t>
        </is>
      </c>
      <c r="F347" s="5" t="inlineStr">
        <is>
          <t>à confirmer</t>
        </is>
      </c>
      <c r="G347" s="4">
        <f>IMAGE("https://raw.githubusercontent.com/leslita06/dreamcosmetics-maquette/main/photos/464.jpg")</f>
        <v/>
      </c>
      <c r="H347" s="4" t="inlineStr">
        <is>
          <t>http://dreamcosmetics.net/fr/product/parfum/eau-de-parfum/hit-spark</t>
        </is>
      </c>
      <c r="I347" s="4" t="inlineStr">
        <is>
          <t>Site Dream Cosmetics</t>
        </is>
      </c>
      <c r="J347" s="4" t="inlineStr"/>
    </row>
    <row r="348" ht="70" customHeight="1">
      <c r="A348" s="4" t="inlineStr">
        <is>
          <t>Hydralux</t>
        </is>
      </c>
      <c r="B348" s="4" t="inlineStr"/>
      <c r="C348" s="4" t="inlineStr">
        <is>
          <t>Hydralux - Lait avocat</t>
        </is>
      </c>
      <c r="D348" s="4" t="inlineStr">
        <is>
          <t>Visage et corps</t>
        </is>
      </c>
      <c r="E348" s="4" t="inlineStr">
        <is>
          <t>Lait</t>
        </is>
      </c>
      <c r="F348" s="4" t="inlineStr">
        <is>
          <t>650 ml</t>
        </is>
      </c>
      <c r="G348" s="4">
        <f>IMAGE("https://raw.githubusercontent.com/leslita06/dreamcosmetics-maquette/main/photos/281.jpg")</f>
        <v/>
      </c>
      <c r="H348" s="4" t="inlineStr">
        <is>
          <t>http://dreamcosmetics.net/fr/product/visage-et-corps/lait/hydralux-lait-avocat</t>
        </is>
      </c>
      <c r="I348" s="4" t="inlineStr">
        <is>
          <t>Site Dream Cosmetics</t>
        </is>
      </c>
      <c r="J348" s="4" t="inlineStr"/>
    </row>
    <row r="349" ht="70" customHeight="1">
      <c r="A349" s="4" t="inlineStr">
        <is>
          <t>Hydralux</t>
        </is>
      </c>
      <c r="B349" s="4" t="inlineStr"/>
      <c r="C349" s="4" t="inlineStr">
        <is>
          <t>Hydralux - Lait Coco</t>
        </is>
      </c>
      <c r="D349" s="4" t="inlineStr">
        <is>
          <t>Visage et corps</t>
        </is>
      </c>
      <c r="E349" s="4" t="inlineStr">
        <is>
          <t>Lait</t>
        </is>
      </c>
      <c r="F349" s="4" t="inlineStr">
        <is>
          <t>650 ml</t>
        </is>
      </c>
      <c r="G349" s="4">
        <f>IMAGE("https://raw.githubusercontent.com/leslita06/dreamcosmetics-maquette/main/photos/280.jpg")</f>
        <v/>
      </c>
      <c r="H349" s="4" t="inlineStr">
        <is>
          <t>http://dreamcosmetics.net/fr/product/visage-et-corps/lait/hydralux-lait-coco</t>
        </is>
      </c>
      <c r="I349" s="4" t="inlineStr">
        <is>
          <t>Site Dream Cosmetics</t>
        </is>
      </c>
      <c r="J349" s="4" t="inlineStr"/>
    </row>
    <row r="350" ht="70" customHeight="1">
      <c r="A350" s="4" t="inlineStr">
        <is>
          <t>Hydralux</t>
        </is>
      </c>
      <c r="B350" s="4" t="inlineStr"/>
      <c r="C350" s="4" t="inlineStr">
        <is>
          <t>Hydralux - Lait Dermoprotecteur</t>
        </is>
      </c>
      <c r="D350" s="4" t="inlineStr">
        <is>
          <t>Visage et corps</t>
        </is>
      </c>
      <c r="E350" s="4" t="inlineStr">
        <is>
          <t>Lait</t>
        </is>
      </c>
      <c r="F350" s="5" t="inlineStr">
        <is>
          <t>à confirmer</t>
        </is>
      </c>
      <c r="G350" s="4">
        <f>IMAGE("https://raw.githubusercontent.com/leslita06/dreamcosmetics-maquette/main/photos/282.jpg")</f>
        <v/>
      </c>
      <c r="H350" s="4" t="inlineStr">
        <is>
          <t>http://dreamcosmetics.net/fr/product/visage-et-corps/lait/hydralux-lait-dermoprotecteur</t>
        </is>
      </c>
      <c r="I350" s="4" t="inlineStr">
        <is>
          <t>Site Dream Cosmetics</t>
        </is>
      </c>
      <c r="J350" s="4" t="inlineStr"/>
    </row>
    <row r="351" ht="70" customHeight="1">
      <c r="A351" s="4" t="inlineStr">
        <is>
          <t>Hydralux</t>
        </is>
      </c>
      <c r="B351" s="4" t="inlineStr"/>
      <c r="C351" s="4" t="inlineStr">
        <is>
          <t>Hydralux - Lait rose</t>
        </is>
      </c>
      <c r="D351" s="4" t="inlineStr">
        <is>
          <t>Visage et corps</t>
        </is>
      </c>
      <c r="E351" s="4" t="inlineStr">
        <is>
          <t>Lait</t>
        </is>
      </c>
      <c r="F351" s="4" t="inlineStr">
        <is>
          <t>650 ml</t>
        </is>
      </c>
      <c r="G351" s="4">
        <f>IMAGE("https://raw.githubusercontent.com/leslita06/dreamcosmetics-maquette/main/photos/279.jpg")</f>
        <v/>
      </c>
      <c r="H351" s="4" t="inlineStr">
        <is>
          <t>http://dreamcosmetics.net/fr/product/visage-et-corps/lait/hydralux-lait-rose</t>
        </is>
      </c>
      <c r="I351" s="4" t="inlineStr">
        <is>
          <t>Site Dream Cosmetics</t>
        </is>
      </c>
      <c r="J351" s="4" t="inlineStr"/>
    </row>
    <row r="352" ht="70" customHeight="1">
      <c r="A352" s="4" t="inlineStr">
        <is>
          <t>Ibiza</t>
        </is>
      </c>
      <c r="B352" s="4" t="inlineStr"/>
      <c r="C352" s="4" t="inlineStr">
        <is>
          <t>IBIZA Gel douche GOLDEN</t>
        </is>
      </c>
      <c r="D352" s="4" t="inlineStr">
        <is>
          <t>Hygiène et bain</t>
        </is>
      </c>
      <c r="E352" s="4" t="inlineStr">
        <is>
          <t>Gel douche</t>
        </is>
      </c>
      <c r="F352" s="5" t="inlineStr">
        <is>
          <t>à confirmer</t>
        </is>
      </c>
      <c r="G352" s="4">
        <f>IMAGE("https://raw.githubusercontent.com/leslita06/dreamcosmetics-maquette/main/photos/468.jpg")</f>
        <v/>
      </c>
      <c r="H352" s="4" t="inlineStr">
        <is>
          <t>http://dreamcosmetics.net/fr/product/hygi%C3%A8ne-et-bain/gel-douche/ibiza-gel-douche-golden</t>
        </is>
      </c>
      <c r="I352" s="4" t="inlineStr">
        <is>
          <t>Site Dream Cosmetics</t>
        </is>
      </c>
      <c r="J352" s="4" t="inlineStr"/>
    </row>
    <row r="353" ht="70" customHeight="1">
      <c r="A353" s="4" t="inlineStr">
        <is>
          <t>Ibiza</t>
        </is>
      </c>
      <c r="B353" s="4" t="inlineStr"/>
      <c r="C353" s="4" t="inlineStr">
        <is>
          <t>IBIZA Gel douche ORIGIN</t>
        </is>
      </c>
      <c r="D353" s="4" t="inlineStr">
        <is>
          <t>Hygiène et bain</t>
        </is>
      </c>
      <c r="E353" s="4" t="inlineStr">
        <is>
          <t>Gel douche</t>
        </is>
      </c>
      <c r="F353" s="4" t="inlineStr">
        <is>
          <t>700 ml</t>
        </is>
      </c>
      <c r="G353" s="4">
        <f>IMAGE("https://raw.githubusercontent.com/leslita06/dreamcosmetics-maquette/main/photos/469.jpg")</f>
        <v/>
      </c>
      <c r="H353" s="4" t="inlineStr">
        <is>
          <t>http://dreamcosmetics.net/fr/product/hygi%C3%A8ne-et-bain/gel-douche/ibiza-gel-douche-origin</t>
        </is>
      </c>
      <c r="I353" s="4" t="inlineStr">
        <is>
          <t>Site Dream Cosmetics</t>
        </is>
      </c>
      <c r="J353" s="4" t="inlineStr"/>
    </row>
    <row r="354" ht="70" customHeight="1">
      <c r="A354" s="4" t="inlineStr">
        <is>
          <t>Ibiza</t>
        </is>
      </c>
      <c r="B354" s="4" t="inlineStr"/>
      <c r="C354" s="4" t="inlineStr">
        <is>
          <t>IBIZA Gel douche PUNCH</t>
        </is>
      </c>
      <c r="D354" s="4" t="inlineStr">
        <is>
          <t>Hygiène et bain</t>
        </is>
      </c>
      <c r="E354" s="4" t="inlineStr">
        <is>
          <t>Gel douche</t>
        </is>
      </c>
      <c r="F354" s="4" t="inlineStr">
        <is>
          <t>700 ml</t>
        </is>
      </c>
      <c r="G354" s="4">
        <f>IMAGE("https://raw.githubusercontent.com/leslita06/dreamcosmetics-maquette/main/photos/470.jpg")</f>
        <v/>
      </c>
      <c r="H354" s="4" t="inlineStr">
        <is>
          <t>http://dreamcosmetics.net/fr/product/hygi%C3%A8ne-et-bain/gel-douche/ibiza-gel-douche-punch</t>
        </is>
      </c>
      <c r="I354" s="4" t="inlineStr">
        <is>
          <t>Site Dream Cosmetics</t>
        </is>
      </c>
      <c r="J354" s="4" t="inlineStr"/>
    </row>
    <row r="355" ht="70" customHeight="1">
      <c r="A355" s="4" t="inlineStr">
        <is>
          <t>Ibiza</t>
        </is>
      </c>
      <c r="B355" s="4" t="inlineStr"/>
      <c r="C355" s="4" t="inlineStr">
        <is>
          <t>IBIZA Gel douche RELAX</t>
        </is>
      </c>
      <c r="D355" s="4" t="inlineStr">
        <is>
          <t>Hygiène et bain</t>
        </is>
      </c>
      <c r="E355" s="4" t="inlineStr">
        <is>
          <t>Gel douche</t>
        </is>
      </c>
      <c r="F355" s="4" t="inlineStr">
        <is>
          <t>700 ml</t>
        </is>
      </c>
      <c r="G355" s="4">
        <f>IMAGE("https://raw.githubusercontent.com/leslita06/dreamcosmetics-maquette/main/photos/471.jpg")</f>
        <v/>
      </c>
      <c r="H355" s="4" t="inlineStr">
        <is>
          <t>http://dreamcosmetics.net/fr/product/hygi%C3%A8ne-et-bain/gel-douche/ibiza-gel-douche-relax</t>
        </is>
      </c>
      <c r="I355" s="4" t="inlineStr">
        <is>
          <t>Site Dream Cosmetics</t>
        </is>
      </c>
      <c r="J355" s="4" t="inlineStr"/>
    </row>
    <row r="356" ht="70" customHeight="1">
      <c r="A356" s="4" t="inlineStr">
        <is>
          <t>Ibiza</t>
        </is>
      </c>
      <c r="B356" s="4" t="inlineStr"/>
      <c r="C356" s="4" t="inlineStr">
        <is>
          <t>IBIZA Gel douche SENSUAL</t>
        </is>
      </c>
      <c r="D356" s="4" t="inlineStr">
        <is>
          <t>Hygiène et bain</t>
        </is>
      </c>
      <c r="E356" s="4" t="inlineStr">
        <is>
          <t>Gel douche</t>
        </is>
      </c>
      <c r="F356" s="4" t="inlineStr">
        <is>
          <t>700 ml</t>
        </is>
      </c>
      <c r="G356" s="4">
        <f>IMAGE("https://raw.githubusercontent.com/leslita06/dreamcosmetics-maquette/main/photos/472.jpg")</f>
        <v/>
      </c>
      <c r="H356" s="4" t="inlineStr">
        <is>
          <t>http://dreamcosmetics.net/fr/product/hygi%C3%A8ne-et-bain/gel-douche/ibiza-gel-douche-sensual</t>
        </is>
      </c>
      <c r="I356" s="4" t="inlineStr">
        <is>
          <t>Site Dream Cosmetics</t>
        </is>
      </c>
      <c r="J356" s="4" t="inlineStr"/>
    </row>
    <row r="357" ht="70" customHeight="1">
      <c r="A357" s="4" t="inlineStr">
        <is>
          <t>Infini Clear</t>
        </is>
      </c>
      <c r="B357" s="4" t="inlineStr"/>
      <c r="C357" s="4" t="inlineStr">
        <is>
          <t>infini clear Booster Lightdrop sérum activateur d’éclat huile de carotte</t>
        </is>
      </c>
      <c r="D357" s="4" t="inlineStr">
        <is>
          <t>Visage et corps</t>
        </is>
      </c>
      <c r="E357" s="4" t="inlineStr">
        <is>
          <t>Sérum</t>
        </is>
      </c>
      <c r="F357" s="4" t="inlineStr">
        <is>
          <t>20 / 50 ampoules 7 ml</t>
        </is>
      </c>
      <c r="G357" s="4">
        <f>IMAGE("https://raw.githubusercontent.com/leslita06/dreamcosmetics-maquette/main/photos/447.jpg")</f>
        <v/>
      </c>
      <c r="H357" s="4" t="inlineStr">
        <is>
          <t>http://dreamcosmetics.net/fr/product/visage-et-corps/s%C3%A9rum/infini-clear-booster-lightdrop-s%C3%A9rum-activateur-d%E2%80%99%C3%A9clat-huile-de</t>
        </is>
      </c>
      <c r="I357" s="4" t="inlineStr">
        <is>
          <t>Site Dream Cosmetics</t>
        </is>
      </c>
      <c r="J357" s="4" t="inlineStr">
        <is>
          <t>Gamme éclaircissante : à ne pas mettre en avant</t>
        </is>
      </c>
    </row>
    <row r="358" ht="70" customHeight="1">
      <c r="A358" s="4" t="inlineStr">
        <is>
          <t>Infini Clear</t>
        </is>
      </c>
      <c r="B358" s="4" t="inlineStr"/>
      <c r="C358" s="4" t="inlineStr">
        <is>
          <t>infini clear crème clarifiante huile de carotte</t>
        </is>
      </c>
      <c r="D358" s="4" t="inlineStr">
        <is>
          <t>Visage et corps</t>
        </is>
      </c>
      <c r="E358" s="4" t="inlineStr">
        <is>
          <t>Crème</t>
        </is>
      </c>
      <c r="F358" s="4" t="inlineStr">
        <is>
          <t>120 - 300 ml</t>
        </is>
      </c>
      <c r="G358" s="4">
        <f>IMAGE("https://raw.githubusercontent.com/leslita06/dreamcosmetics-maquette/main/photos/441.jpg")</f>
        <v/>
      </c>
      <c r="H358" s="4" t="inlineStr">
        <is>
          <t>http://dreamcosmetics.net/fr/product/visage-et-corps/cr%C3%A8me/infini-clear-cr%C3%A8me-clarifiante-huile-de-carotte</t>
        </is>
      </c>
      <c r="I358" s="4" t="inlineStr">
        <is>
          <t>Site Dream Cosmetics</t>
        </is>
      </c>
      <c r="J358" s="4" t="inlineStr">
        <is>
          <t>Gamme éclaircissante : à ne pas mettre en avant</t>
        </is>
      </c>
    </row>
    <row r="359" ht="70" customHeight="1">
      <c r="A359" s="4" t="inlineStr">
        <is>
          <t>Infini Clear</t>
        </is>
      </c>
      <c r="B359" s="4" t="inlineStr"/>
      <c r="C359" s="4" t="inlineStr">
        <is>
          <t>infini clear crème clarifiante intense huile de carotte</t>
        </is>
      </c>
      <c r="D359" s="4" t="inlineStr">
        <is>
          <t>Visage et corps</t>
        </is>
      </c>
      <c r="E359" s="4" t="inlineStr">
        <is>
          <t>Crème</t>
        </is>
      </c>
      <c r="F359" s="4" t="inlineStr">
        <is>
          <t>25 ml</t>
        </is>
      </c>
      <c r="G359" s="4">
        <f>IMAGE("https://raw.githubusercontent.com/leslita06/dreamcosmetics-maquette/main/photos/446.jpg")</f>
        <v/>
      </c>
      <c r="H359" s="4" t="inlineStr">
        <is>
          <t>http://dreamcosmetics.net/fr/product/visage-et-corps/cr%C3%A8me/infini-clear-cr%C3%A8me-clarifiante-intense-huile-de-carotte</t>
        </is>
      </c>
      <c r="I359" s="4" t="inlineStr">
        <is>
          <t>Site Dream Cosmetics</t>
        </is>
      </c>
      <c r="J359" s="4" t="inlineStr">
        <is>
          <t>Gamme éclaircissante : à ne pas mettre en avant</t>
        </is>
      </c>
    </row>
    <row r="360" ht="70" customHeight="1">
      <c r="A360" s="4" t="inlineStr">
        <is>
          <t>Infini Clear</t>
        </is>
      </c>
      <c r="B360" s="4" t="inlineStr"/>
      <c r="C360" s="4" t="inlineStr">
        <is>
          <t>infini clear Dark spot remover huile de carotte</t>
        </is>
      </c>
      <c r="D360" s="4" t="inlineStr">
        <is>
          <t>Visage et corps</t>
        </is>
      </c>
      <c r="E360" s="4" t="inlineStr">
        <is>
          <t>Dark spot remover</t>
        </is>
      </c>
      <c r="F360" s="4" t="inlineStr">
        <is>
          <t>25 ml</t>
        </is>
      </c>
      <c r="G360" s="4">
        <f>IMAGE("https://raw.githubusercontent.com/leslita06/dreamcosmetics-maquette/main/photos/445.jpg")</f>
        <v/>
      </c>
      <c r="H360" s="4" t="inlineStr">
        <is>
          <t>http://dreamcosmetics.net/fr/product/visage-et-corps/dark-spot-remover/infini-clear-dark-spot-remover-huile-de-carotte</t>
        </is>
      </c>
      <c r="I360" s="4" t="inlineStr">
        <is>
          <t>Site Dream Cosmetics</t>
        </is>
      </c>
      <c r="J360" s="4" t="inlineStr">
        <is>
          <t>Gamme éclaircissante : à ne pas mettre en avant</t>
        </is>
      </c>
    </row>
    <row r="361" ht="70" customHeight="1">
      <c r="A361" s="4" t="inlineStr">
        <is>
          <t>Infini Clear</t>
        </is>
      </c>
      <c r="B361" s="4" t="inlineStr"/>
      <c r="C361" s="4" t="inlineStr">
        <is>
          <t>infini clear gel douche clarifiant huile de carotte</t>
        </is>
      </c>
      <c r="D361" s="4" t="inlineStr">
        <is>
          <t>Corps (douche)</t>
        </is>
      </c>
      <c r="E361" s="4" t="inlineStr">
        <is>
          <t>Gel douche</t>
        </is>
      </c>
      <c r="F361" s="4" t="inlineStr">
        <is>
          <t>180 g</t>
        </is>
      </c>
      <c r="G361" s="4">
        <f>IMAGE("https://raw.githubusercontent.com/leslita06/dreamcosmetics-maquette/main/photos/443.jpg")</f>
        <v/>
      </c>
      <c r="H361" s="4" t="inlineStr">
        <is>
          <t>http://dreamcosmetics.net/fr/product/visage-et-corps/gel-douche/infini-clear-gel-douche-clarifiant-huile-de-carotte</t>
        </is>
      </c>
      <c r="I361" s="4" t="inlineStr">
        <is>
          <t>Site Dream Cosmetics</t>
        </is>
      </c>
      <c r="J361" s="4" t="inlineStr">
        <is>
          <t>Gamme éclaircissante : à ne pas mettre en avant</t>
        </is>
      </c>
    </row>
    <row r="362" ht="70" customHeight="1">
      <c r="A362" s="4" t="inlineStr">
        <is>
          <t>Infini Clear</t>
        </is>
      </c>
      <c r="B362" s="4" t="inlineStr"/>
      <c r="C362" s="4" t="inlineStr">
        <is>
          <t>infini clear Huile clarifiante huile de carotte</t>
        </is>
      </c>
      <c r="D362" s="4" t="inlineStr">
        <is>
          <t>Visage et corps</t>
        </is>
      </c>
      <c r="E362" s="4" t="inlineStr">
        <is>
          <t>Huile</t>
        </is>
      </c>
      <c r="F362" s="4" t="inlineStr">
        <is>
          <t>50 ml</t>
        </is>
      </c>
      <c r="G362" s="4">
        <f>IMAGE("https://raw.githubusercontent.com/leslita06/dreamcosmetics-maquette/main/photos/444.jpg")</f>
        <v/>
      </c>
      <c r="H362" s="4" t="inlineStr">
        <is>
          <t>http://dreamcosmetics.net/fr/product/visage-et-corps/huile/infini-clear-huile-clarifiante-huile-de-carotte</t>
        </is>
      </c>
      <c r="I362" s="4" t="inlineStr">
        <is>
          <t>Site Dream Cosmetics</t>
        </is>
      </c>
      <c r="J362" s="4" t="inlineStr">
        <is>
          <t>Gamme éclaircissante : à ne pas mettre en avant</t>
        </is>
      </c>
    </row>
    <row r="363" ht="70" customHeight="1">
      <c r="A363" s="4" t="inlineStr">
        <is>
          <t>Infini Clear</t>
        </is>
      </c>
      <c r="B363" s="4" t="inlineStr"/>
      <c r="C363" s="4" t="inlineStr">
        <is>
          <t>infini clear Lait clarifiant huile de carotte</t>
        </is>
      </c>
      <c r="D363" s="4" t="inlineStr">
        <is>
          <t>Visage et corps</t>
        </is>
      </c>
      <c r="E363" s="4" t="inlineStr">
        <is>
          <t>Lait</t>
        </is>
      </c>
      <c r="F363" s="4" t="inlineStr">
        <is>
          <t>300 - 500 ml</t>
        </is>
      </c>
      <c r="G363" s="4">
        <f>IMAGE("https://raw.githubusercontent.com/leslita06/dreamcosmetics-maquette/main/photos/440.jpg")</f>
        <v/>
      </c>
      <c r="H363" s="4" t="inlineStr">
        <is>
          <t>http://dreamcosmetics.net/fr/product/visage-et-corps/lait/infini-clear-lait-clarifiant-huile-de-carotte</t>
        </is>
      </c>
      <c r="I363" s="4" t="inlineStr">
        <is>
          <t>Site Dream Cosmetics</t>
        </is>
      </c>
      <c r="J363" s="4" t="inlineStr">
        <is>
          <t>Gamme éclaircissante : à ne pas mettre en avant</t>
        </is>
      </c>
    </row>
    <row r="364" ht="70" customHeight="1">
      <c r="A364" s="4" t="inlineStr">
        <is>
          <t>Infini Clear</t>
        </is>
      </c>
      <c r="B364" s="4" t="inlineStr"/>
      <c r="C364" s="4" t="inlineStr">
        <is>
          <t>infini clear Savon clarifiant huile de carotte</t>
        </is>
      </c>
      <c r="D364" s="4" t="inlineStr">
        <is>
          <t>Savon</t>
        </is>
      </c>
      <c r="E364" s="4" t="inlineStr">
        <is>
          <t>Savon</t>
        </is>
      </c>
      <c r="F364" s="4" t="inlineStr">
        <is>
          <t>180 g</t>
        </is>
      </c>
      <c r="G364" s="4">
        <f>IMAGE("https://raw.githubusercontent.com/leslita06/dreamcosmetics-maquette/main/photos/442.jpg")</f>
        <v/>
      </c>
      <c r="H364" s="4" t="inlineStr">
        <is>
          <t>http://dreamcosmetics.net/fr/product/visage-et-corps/savon/infini-clear-savon-clarifiant-huile-de-carotte</t>
        </is>
      </c>
      <c r="I364" s="4" t="inlineStr">
        <is>
          <t>Site Dream Cosmetics</t>
        </is>
      </c>
      <c r="J364" s="4" t="inlineStr">
        <is>
          <t>Gamme éclaircissante : à ne pas mettre en avant</t>
        </is>
      </c>
    </row>
    <row r="365" ht="70" customHeight="1">
      <c r="A365" s="4" t="inlineStr">
        <is>
          <t>Lea</t>
        </is>
      </c>
      <c r="B365" s="4" t="inlineStr"/>
      <c r="C365" s="4" t="inlineStr">
        <is>
          <t>Lea savon carotte</t>
        </is>
      </c>
      <c r="D365" s="4" t="inlineStr">
        <is>
          <t>Savon</t>
        </is>
      </c>
      <c r="E365" s="4" t="inlineStr">
        <is>
          <t>Savon</t>
        </is>
      </c>
      <c r="F365" s="5" t="inlineStr">
        <is>
          <t>à confirmer</t>
        </is>
      </c>
      <c r="G365" s="4">
        <f>IMAGE("https://raw.githubusercontent.com/leslita06/dreamcosmetics-maquette/main/photos/252.jpg")</f>
        <v/>
      </c>
      <c r="H365" s="4" t="inlineStr">
        <is>
          <t>http://dreamcosmetics.net/fr/product/hygi%C3%A8ne-et-bain/savon/lea-savon-carotte</t>
        </is>
      </c>
      <c r="I365" s="4" t="inlineStr">
        <is>
          <t>Site Dream Cosmetics</t>
        </is>
      </c>
      <c r="J365" s="4" t="inlineStr"/>
    </row>
    <row r="366" ht="70" customHeight="1">
      <c r="A366" s="4" t="inlineStr">
        <is>
          <t>Lea</t>
        </is>
      </c>
      <c r="B366" s="4" t="inlineStr"/>
      <c r="C366" s="4" t="inlineStr">
        <is>
          <t>Lea savon lys</t>
        </is>
      </c>
      <c r="D366" s="4" t="inlineStr">
        <is>
          <t>Savon</t>
        </is>
      </c>
      <c r="E366" s="4" t="inlineStr">
        <is>
          <t>Savon</t>
        </is>
      </c>
      <c r="F366" s="5" t="inlineStr">
        <is>
          <t>à confirmer</t>
        </is>
      </c>
      <c r="G366" s="4">
        <f>IMAGE("https://raw.githubusercontent.com/leslita06/dreamcosmetics-maquette/main/photos/253.jpg")</f>
        <v/>
      </c>
      <c r="H366" s="4" t="inlineStr">
        <is>
          <t>http://dreamcosmetics.net/fr/product/hygi%C3%A8ne-et-bain/savon/lea-savon-lys</t>
        </is>
      </c>
      <c r="I366" s="4" t="inlineStr">
        <is>
          <t>Site Dream Cosmetics</t>
        </is>
      </c>
      <c r="J366" s="4" t="inlineStr"/>
    </row>
    <row r="367" ht="70" customHeight="1">
      <c r="A367" s="4" t="inlineStr">
        <is>
          <t>Lea</t>
        </is>
      </c>
      <c r="B367" s="4" t="inlineStr"/>
      <c r="C367" s="4" t="inlineStr">
        <is>
          <t>Lea savon mimosa</t>
        </is>
      </c>
      <c r="D367" s="4" t="inlineStr">
        <is>
          <t>Savon</t>
        </is>
      </c>
      <c r="E367" s="4" t="inlineStr">
        <is>
          <t>Savon</t>
        </is>
      </c>
      <c r="F367" s="5" t="inlineStr">
        <is>
          <t>à confirmer</t>
        </is>
      </c>
      <c r="G367" s="4">
        <f>IMAGE("https://raw.githubusercontent.com/leslita06/dreamcosmetics-maquette/main/photos/254.jpg")</f>
        <v/>
      </c>
      <c r="H367" s="4" t="inlineStr">
        <is>
          <t>http://dreamcosmetics.net/fr/product/hygi%C3%A8ne-et-bain/savon/lea-savon-mimosa</t>
        </is>
      </c>
      <c r="I367" s="4" t="inlineStr">
        <is>
          <t>Site Dream Cosmetics</t>
        </is>
      </c>
      <c r="J367" s="4" t="inlineStr"/>
    </row>
    <row r="368" ht="70" customHeight="1">
      <c r="A368" s="4" t="inlineStr">
        <is>
          <t>Lea</t>
        </is>
      </c>
      <c r="B368" s="4" t="inlineStr"/>
      <c r="C368" s="4" t="inlineStr">
        <is>
          <t>Lea savon rose</t>
        </is>
      </c>
      <c r="D368" s="4" t="inlineStr">
        <is>
          <t>Savon</t>
        </is>
      </c>
      <c r="E368" s="4" t="inlineStr">
        <is>
          <t>Savon</t>
        </is>
      </c>
      <c r="F368" s="4" t="inlineStr">
        <is>
          <t>150 gr</t>
        </is>
      </c>
      <c r="G368" s="4">
        <f>IMAGE("https://raw.githubusercontent.com/leslita06/dreamcosmetics-maquette/main/photos/255.jpg")</f>
        <v/>
      </c>
      <c r="H368" s="4" t="inlineStr">
        <is>
          <t>http://dreamcosmetics.net/fr/product/hygi%C3%A8ne-et-bain/savon/lea-savon-rose</t>
        </is>
      </c>
      <c r="I368" s="4" t="inlineStr">
        <is>
          <t>Site Dream Cosmetics</t>
        </is>
      </c>
      <c r="J368" s="4" t="inlineStr"/>
    </row>
    <row r="369" ht="70" customHeight="1">
      <c r="A369" s="4" t="inlineStr">
        <is>
          <t>Lea</t>
        </is>
      </c>
      <c r="B369" s="4" t="inlineStr"/>
      <c r="C369" s="4" t="inlineStr">
        <is>
          <t>Lea savon violette</t>
        </is>
      </c>
      <c r="D369" s="4" t="inlineStr">
        <is>
          <t>Savon</t>
        </is>
      </c>
      <c r="E369" s="4" t="inlineStr">
        <is>
          <t>Savon</t>
        </is>
      </c>
      <c r="F369" s="4" t="inlineStr">
        <is>
          <t>150 gr</t>
        </is>
      </c>
      <c r="G369" s="4">
        <f>IMAGE("https://raw.githubusercontent.com/leslita06/dreamcosmetics-maquette/main/photos/256.jpg")</f>
        <v/>
      </c>
      <c r="H369" s="4" t="inlineStr">
        <is>
          <t>http://dreamcosmetics.net/fr/product/hygi%C3%A8ne-et-bain/savon/lea-savon-violette</t>
        </is>
      </c>
      <c r="I369" s="4" t="inlineStr">
        <is>
          <t>Site Dream Cosmetics</t>
        </is>
      </c>
      <c r="J369" s="4" t="inlineStr"/>
    </row>
    <row r="370" ht="70" customHeight="1">
      <c r="A370" s="4" t="inlineStr">
        <is>
          <t>Les authentiques</t>
        </is>
      </c>
      <c r="B370" s="4" t="inlineStr"/>
      <c r="C370" s="4" t="inlineStr">
        <is>
          <t>Les authentiques - EDC 1757</t>
        </is>
      </c>
      <c r="D370" s="4" t="inlineStr">
        <is>
          <t>Parfum</t>
        </is>
      </c>
      <c r="E370" s="4" t="inlineStr">
        <is>
          <t>Eau de cologne</t>
        </is>
      </c>
      <c r="F370" s="5" t="inlineStr">
        <is>
          <t>à confirmer</t>
        </is>
      </c>
      <c r="G370" s="4">
        <f>IMAGE("https://raw.githubusercontent.com/leslita06/dreamcosmetics-maquette/main/photos/344.jpg")</f>
        <v/>
      </c>
      <c r="H370" s="4" t="inlineStr">
        <is>
          <t>http://dreamcosmetics.net/fr/product/parfums/eau-de-cologne/les-authentiques-edc-1757</t>
        </is>
      </c>
      <c r="I370" s="4" t="inlineStr">
        <is>
          <t>Site Dream Cosmetics</t>
        </is>
      </c>
      <c r="J370" s="4" t="inlineStr"/>
    </row>
    <row r="371" ht="70" customHeight="1">
      <c r="A371" s="4" t="inlineStr">
        <is>
          <t>Les authentiques</t>
        </is>
      </c>
      <c r="B371" s="4" t="inlineStr"/>
      <c r="C371" s="4" t="inlineStr">
        <is>
          <t>Les authentiques - EDC Impérial</t>
        </is>
      </c>
      <c r="D371" s="4" t="inlineStr">
        <is>
          <t>Parfum</t>
        </is>
      </c>
      <c r="E371" s="4" t="inlineStr">
        <is>
          <t>Eau de cologne</t>
        </is>
      </c>
      <c r="F371" s="4" t="inlineStr">
        <is>
          <t>500 - 1000 ml</t>
        </is>
      </c>
      <c r="G371" s="4">
        <f>IMAGE("https://raw.githubusercontent.com/leslita06/dreamcosmetics-maquette/main/photos/347.jpg")</f>
        <v/>
      </c>
      <c r="H371" s="4" t="inlineStr">
        <is>
          <t>http://dreamcosmetics.net/fr/product/parfums/eau-de-cologne/les-authentiques-edc-imp%C3%A9rial</t>
        </is>
      </c>
      <c r="I371" s="4" t="inlineStr">
        <is>
          <t>Site Dream Cosmetics</t>
        </is>
      </c>
      <c r="J371" s="4" t="inlineStr"/>
    </row>
    <row r="372" ht="70" customHeight="1">
      <c r="A372" s="4" t="inlineStr">
        <is>
          <t>Les authentiques</t>
        </is>
      </c>
      <c r="B372" s="4" t="inlineStr"/>
      <c r="C372" s="4" t="inlineStr">
        <is>
          <t>Les authentiques - EDC M LOUISE</t>
        </is>
      </c>
      <c r="D372" s="4" t="inlineStr">
        <is>
          <t>Parfum</t>
        </is>
      </c>
      <c r="E372" s="4" t="inlineStr">
        <is>
          <t>Eau de cologne</t>
        </is>
      </c>
      <c r="F372" s="4" t="inlineStr">
        <is>
          <t>500 - 1000 ml</t>
        </is>
      </c>
      <c r="G372" s="4">
        <f>IMAGE("https://raw.githubusercontent.com/leslita06/dreamcosmetics-maquette/main/photos/342.jpg")</f>
        <v/>
      </c>
      <c r="H372" s="4" t="inlineStr">
        <is>
          <t>http://dreamcosmetics.net/fr/product/parfums/eau-de-cologne/les-authentiques-edc-m-louise</t>
        </is>
      </c>
      <c r="I372" s="4" t="inlineStr">
        <is>
          <t>Site Dream Cosmetics</t>
        </is>
      </c>
      <c r="J372" s="4" t="inlineStr"/>
    </row>
    <row r="373" ht="70" customHeight="1">
      <c r="A373" s="4" t="inlineStr">
        <is>
          <t>Les authentiques</t>
        </is>
      </c>
      <c r="B373" s="4" t="inlineStr"/>
      <c r="C373" s="4" t="inlineStr">
        <is>
          <t>Les authentiques - EDC Napoléon</t>
        </is>
      </c>
      <c r="D373" s="4" t="inlineStr">
        <is>
          <t>Parfum</t>
        </is>
      </c>
      <c r="E373" s="4" t="inlineStr">
        <is>
          <t>Eau de cologne</t>
        </is>
      </c>
      <c r="F373" s="4" t="inlineStr">
        <is>
          <t>500 - 1000 ml</t>
        </is>
      </c>
      <c r="G373" s="4">
        <f>IMAGE("https://raw.githubusercontent.com/leslita06/dreamcosmetics-maquette/main/photos/343.jpg")</f>
        <v/>
      </c>
      <c r="H373" s="4" t="inlineStr">
        <is>
          <t>http://dreamcosmetics.net/fr/product/parfums/eau-de-cologne/les-authentiques-edc-napol%C3%A9on</t>
        </is>
      </c>
      <c r="I373" s="4" t="inlineStr">
        <is>
          <t>Site Dream Cosmetics</t>
        </is>
      </c>
      <c r="J373" s="4" t="inlineStr"/>
    </row>
    <row r="374" ht="70" customHeight="1">
      <c r="A374" s="4" t="inlineStr">
        <is>
          <t>Les authentiques</t>
        </is>
      </c>
      <c r="B374" s="4" t="inlineStr"/>
      <c r="C374" s="4" t="inlineStr">
        <is>
          <t>Les authentiques - EDC Royal mirage</t>
        </is>
      </c>
      <c r="D374" s="4" t="inlineStr">
        <is>
          <t>Parfum</t>
        </is>
      </c>
      <c r="E374" s="4" t="inlineStr">
        <is>
          <t>Eau de cologne</t>
        </is>
      </c>
      <c r="F374" s="5" t="inlineStr">
        <is>
          <t>à confirmer</t>
        </is>
      </c>
      <c r="G374" s="4">
        <f>IMAGE("https://raw.githubusercontent.com/leslita06/dreamcosmetics-maquette/main/photos/345.jpg")</f>
        <v/>
      </c>
      <c r="H374" s="4" t="inlineStr">
        <is>
          <t>http://dreamcosmetics.net/fr/product/parfums/eau-de-cologne/les-authentiques-edc-royal-mirage</t>
        </is>
      </c>
      <c r="I374" s="4" t="inlineStr">
        <is>
          <t>Site Dream Cosmetics</t>
        </is>
      </c>
      <c r="J374" s="4" t="inlineStr"/>
    </row>
    <row r="375" ht="70" customHeight="1">
      <c r="A375" s="4" t="inlineStr">
        <is>
          <t>Les authentiques</t>
        </is>
      </c>
      <c r="B375" s="4" t="inlineStr"/>
      <c r="C375" s="4" t="inlineStr">
        <is>
          <t>Les authentiques - EDC Ugo stefani</t>
        </is>
      </c>
      <c r="D375" s="4" t="inlineStr">
        <is>
          <t>Parfum</t>
        </is>
      </c>
      <c r="E375" s="4" t="inlineStr">
        <is>
          <t>Eau de cologne</t>
        </is>
      </c>
      <c r="F375" s="5" t="inlineStr">
        <is>
          <t>à confirmer</t>
        </is>
      </c>
      <c r="G375" s="4">
        <f>IMAGE("https://raw.githubusercontent.com/leslita06/dreamcosmetics-maquette/main/photos/346.jpg")</f>
        <v/>
      </c>
      <c r="H375" s="4" t="inlineStr">
        <is>
          <t>http://dreamcosmetics.net/fr/product/parfums/eau-de-cologne/les-authentiques-edc-ugo-stefani</t>
        </is>
      </c>
      <c r="I375" s="4" t="inlineStr">
        <is>
          <t>Site Dream Cosmetics</t>
        </is>
      </c>
      <c r="J375" s="4" t="inlineStr"/>
    </row>
    <row r="376" ht="70" customHeight="1">
      <c r="A376" s="4" t="inlineStr">
        <is>
          <t>Medi +</t>
        </is>
      </c>
      <c r="B376" s="4" t="inlineStr"/>
      <c r="C376" s="4" t="inlineStr">
        <is>
          <t>medi + savon gingembre</t>
        </is>
      </c>
      <c r="D376" s="4" t="inlineStr">
        <is>
          <t>Savon</t>
        </is>
      </c>
      <c r="E376" s="4" t="inlineStr">
        <is>
          <t>Savon</t>
        </is>
      </c>
      <c r="F376" s="4" t="inlineStr">
        <is>
          <t>75 gr</t>
        </is>
      </c>
      <c r="G376" s="4">
        <f>IMAGE("https://raw.githubusercontent.com/leslita06/dreamcosmetics-maquette/main/photos/399.jpg")</f>
        <v/>
      </c>
      <c r="H376" s="4" t="inlineStr">
        <is>
          <t>http://dreamcosmetics.net/fr/product/hygi%C3%A8ne-et-bain/savon/medi-savon-gingembre</t>
        </is>
      </c>
      <c r="I376" s="4" t="inlineStr">
        <is>
          <t>Site Dream Cosmetics</t>
        </is>
      </c>
      <c r="J376" s="4" t="inlineStr"/>
    </row>
    <row r="377" ht="70" customHeight="1">
      <c r="A377" s="4" t="inlineStr">
        <is>
          <t>Medi +</t>
        </is>
      </c>
      <c r="B377" s="4" t="inlineStr"/>
      <c r="C377" s="4" t="inlineStr">
        <is>
          <t>medi + savon herbal</t>
        </is>
      </c>
      <c r="D377" s="4" t="inlineStr">
        <is>
          <t>Savon</t>
        </is>
      </c>
      <c r="E377" s="4" t="inlineStr">
        <is>
          <t>Savon</t>
        </is>
      </c>
      <c r="F377" s="4" t="inlineStr">
        <is>
          <t>75 gr</t>
        </is>
      </c>
      <c r="G377" s="4">
        <f>IMAGE("https://raw.githubusercontent.com/leslita06/dreamcosmetics-maquette/main/photos/400.jpg")</f>
        <v/>
      </c>
      <c r="H377" s="4" t="inlineStr">
        <is>
          <t>http://dreamcosmetics.net/fr/product/hygi%C3%A8ne-et-bain/savon/medi-savon-herbal</t>
        </is>
      </c>
      <c r="I377" s="4" t="inlineStr">
        <is>
          <t>Site Dream Cosmetics</t>
        </is>
      </c>
      <c r="J377" s="4" t="inlineStr"/>
    </row>
    <row r="378" ht="70" customHeight="1">
      <c r="A378" s="4" t="inlineStr">
        <is>
          <t>Medi +</t>
        </is>
      </c>
      <c r="B378" s="4" t="inlineStr"/>
      <c r="C378" s="4" t="inlineStr">
        <is>
          <t>medi + savon red</t>
        </is>
      </c>
      <c r="D378" s="4" t="inlineStr">
        <is>
          <t>Savon</t>
        </is>
      </c>
      <c r="E378" s="4" t="inlineStr">
        <is>
          <t>Savon</t>
        </is>
      </c>
      <c r="F378" s="4" t="inlineStr">
        <is>
          <t>75 gr</t>
        </is>
      </c>
      <c r="G378" s="4">
        <f>IMAGE("https://raw.githubusercontent.com/leslita06/dreamcosmetics-maquette/main/photos/401.jpg")</f>
        <v/>
      </c>
      <c r="H378" s="4" t="inlineStr">
        <is>
          <t>http://dreamcosmetics.net/fr/product/hygi%C3%A8ne-et-bain/savon/medi-savon-red</t>
        </is>
      </c>
      <c r="I378" s="4" t="inlineStr">
        <is>
          <t>Site Dream Cosmetics</t>
        </is>
      </c>
      <c r="J378" s="4" t="inlineStr"/>
    </row>
    <row r="379" ht="70" customHeight="1">
      <c r="A379" s="4" t="inlineStr">
        <is>
          <t>Miss</t>
        </is>
      </c>
      <c r="B379" s="4" t="inlineStr"/>
      <c r="C379" s="4" t="inlineStr">
        <is>
          <t>Miss coﬀret</t>
        </is>
      </c>
      <c r="D379" s="4" t="inlineStr">
        <is>
          <t>Parfum</t>
        </is>
      </c>
      <c r="E379" s="4" t="inlineStr">
        <is>
          <t>Coffret</t>
        </is>
      </c>
      <c r="F379" s="5" t="inlineStr">
        <is>
          <t>à confirmer</t>
        </is>
      </c>
      <c r="G379" s="4">
        <f>IMAGE("https://raw.githubusercontent.com/leslita06/dreamcosmetics-maquette/main/photos/595.jpg")</f>
        <v/>
      </c>
      <c r="H379" s="4" t="inlineStr">
        <is>
          <t>http://dreamcosmetics.net/fr/product/parfum/coffret/miss-co%EF%AC%80ret</t>
        </is>
      </c>
      <c r="I379" s="4" t="inlineStr">
        <is>
          <t>Site Dream Cosmetics</t>
        </is>
      </c>
      <c r="J379" s="4" t="inlineStr"/>
    </row>
    <row r="380" ht="70" customHeight="1">
      <c r="A380" s="4" t="inlineStr">
        <is>
          <t>Miss</t>
        </is>
      </c>
      <c r="B380" s="4" t="inlineStr"/>
      <c r="C380" s="4" t="inlineStr">
        <is>
          <t>Miss déo talc parfumé</t>
        </is>
      </c>
      <c r="D380" s="4" t="inlineStr">
        <is>
          <t>Parfum</t>
        </is>
      </c>
      <c r="E380" s="4" t="inlineStr">
        <is>
          <t>Talc</t>
        </is>
      </c>
      <c r="F380" s="4" t="inlineStr">
        <is>
          <t>50 gr</t>
        </is>
      </c>
      <c r="G380" s="4">
        <f>IMAGE("https://raw.githubusercontent.com/leslita06/dreamcosmetics-maquette/main/photos/134.jpg")</f>
        <v/>
      </c>
      <c r="H380" s="4" t="inlineStr">
        <is>
          <t>http://dreamcosmetics.net/fr/product/parfum/talc/miss-d%C3%A9o-talc-parfum%C3%A9</t>
        </is>
      </c>
      <c r="I380" s="4" t="inlineStr">
        <is>
          <t>Site Dream Cosmetics</t>
        </is>
      </c>
      <c r="J380" s="4" t="inlineStr"/>
    </row>
    <row r="381" ht="70" customHeight="1">
      <c r="A381" s="4" t="inlineStr">
        <is>
          <t>Miss</t>
        </is>
      </c>
      <c r="B381" s="4" t="inlineStr"/>
      <c r="C381" s="4" t="inlineStr">
        <is>
          <t>Miss déodorant parfumé roll on</t>
        </is>
      </c>
      <c r="D381" s="4" t="inlineStr">
        <is>
          <t>Parfum</t>
        </is>
      </c>
      <c r="E381" s="4" t="inlineStr">
        <is>
          <t>Déodorant</t>
        </is>
      </c>
      <c r="F381" s="5" t="inlineStr">
        <is>
          <t>à confirmer</t>
        </is>
      </c>
      <c r="G381" s="4">
        <f>IMAGE("https://raw.githubusercontent.com/leslita06/dreamcosmetics-maquette/main/photos/592.jpg")</f>
        <v/>
      </c>
      <c r="H381" s="4" t="inlineStr">
        <is>
          <t>http://dreamcosmetics.net/fr/product/parfum/d%C3%A9odorant/miss-d%C3%A9odorant-parfum%C3%A9-roll</t>
        </is>
      </c>
      <c r="I381" s="4" t="inlineStr">
        <is>
          <t>Site Dream Cosmetics</t>
        </is>
      </c>
      <c r="J381" s="4" t="inlineStr"/>
    </row>
    <row r="382" ht="70" customHeight="1">
      <c r="A382" s="4" t="inlineStr">
        <is>
          <t>Miss</t>
        </is>
      </c>
      <c r="B382" s="4" t="inlineStr"/>
      <c r="C382" s="4" t="inlineStr">
        <is>
          <t>Miss eau de parfum gold star</t>
        </is>
      </c>
      <c r="D382" s="4" t="inlineStr">
        <is>
          <t>Parfum</t>
        </is>
      </c>
      <c r="E382" s="4" t="inlineStr">
        <is>
          <t>Eau de parfum</t>
        </is>
      </c>
      <c r="F382" s="5" t="inlineStr">
        <is>
          <t>à confirmer</t>
        </is>
      </c>
      <c r="G382" s="4">
        <f>IMAGE("https://raw.githubusercontent.com/leslita06/dreamcosmetics-maquette/main/photos/83.jpg")</f>
        <v/>
      </c>
      <c r="H382" s="4" t="inlineStr">
        <is>
          <t>http://dreamcosmetics.net/fr/product/parfum/eau-de-parfum/miss-eau-de-parfum-gold-star</t>
        </is>
      </c>
      <c r="I382" s="4" t="inlineStr">
        <is>
          <t>Site Dream Cosmetics</t>
        </is>
      </c>
      <c r="J382" s="4" t="inlineStr"/>
    </row>
    <row r="383" ht="70" customHeight="1">
      <c r="A383" s="4" t="inlineStr">
        <is>
          <t>Miss</t>
        </is>
      </c>
      <c r="B383" s="4" t="inlineStr"/>
      <c r="C383" s="4" t="inlineStr">
        <is>
          <t>Miss eau de parfum jet black</t>
        </is>
      </c>
      <c r="D383" s="4" t="inlineStr">
        <is>
          <t>Parfum</t>
        </is>
      </c>
      <c r="E383" s="4" t="inlineStr">
        <is>
          <t>Eau de parfum</t>
        </is>
      </c>
      <c r="F383" s="4" t="inlineStr">
        <is>
          <t>50 ml</t>
        </is>
      </c>
      <c r="G383" s="4">
        <f>IMAGE("https://raw.githubusercontent.com/leslita06/dreamcosmetics-maquette/main/photos/84.jpg")</f>
        <v/>
      </c>
      <c r="H383" s="4" t="inlineStr">
        <is>
          <t>http://dreamcosmetics.net/fr/product/parfum/eau-de-parfum/miss-eau-de-parfum-jet-black</t>
        </is>
      </c>
      <c r="I383" s="4" t="inlineStr">
        <is>
          <t>Site Dream Cosmetics</t>
        </is>
      </c>
      <c r="J383" s="4" t="inlineStr"/>
    </row>
    <row r="384" ht="70" customHeight="1">
      <c r="A384" s="4" t="inlineStr">
        <is>
          <t>Miss</t>
        </is>
      </c>
      <c r="B384" s="4" t="inlineStr"/>
      <c r="C384" s="4" t="inlineStr">
        <is>
          <t>Miss eau de parfum plum red</t>
        </is>
      </c>
      <c r="D384" s="4" t="inlineStr">
        <is>
          <t>Parfum</t>
        </is>
      </c>
      <c r="E384" s="4" t="inlineStr">
        <is>
          <t>Eau de parfum</t>
        </is>
      </c>
      <c r="F384" s="4" t="inlineStr">
        <is>
          <t>50 ml</t>
        </is>
      </c>
      <c r="G384" s="4">
        <f>IMAGE("https://raw.githubusercontent.com/leslita06/dreamcosmetics-maquette/main/photos/85.jpg")</f>
        <v/>
      </c>
      <c r="H384" s="4" t="inlineStr">
        <is>
          <t>http://dreamcosmetics.net/fr/product/parfum/eau-de-parfum/miss-eau-de-parfum-plum-red</t>
        </is>
      </c>
      <c r="I384" s="4" t="inlineStr">
        <is>
          <t>Site Dream Cosmetics</t>
        </is>
      </c>
      <c r="J384" s="4" t="inlineStr"/>
    </row>
    <row r="385" ht="70" customHeight="1">
      <c r="A385" s="4" t="inlineStr">
        <is>
          <t>Miss</t>
        </is>
      </c>
      <c r="B385" s="4" t="inlineStr"/>
      <c r="C385" s="4" t="inlineStr">
        <is>
          <t>Miss eau de parfum rose claire</t>
        </is>
      </c>
      <c r="D385" s="4" t="inlineStr">
        <is>
          <t>Parfum</t>
        </is>
      </c>
      <c r="E385" s="4" t="inlineStr">
        <is>
          <t>Eau de parfum</t>
        </is>
      </c>
      <c r="F385" s="4" t="inlineStr">
        <is>
          <t>50 ml</t>
        </is>
      </c>
      <c r="G385" s="4">
        <f>IMAGE("https://raw.githubusercontent.com/leslita06/dreamcosmetics-maquette/main/photos/82.jpg")</f>
        <v/>
      </c>
      <c r="H385" s="4" t="inlineStr">
        <is>
          <t>http://dreamcosmetics.net/fr/product/parfum/eau-de-parfum/miss-eau-de-parfum-rose-claire</t>
        </is>
      </c>
      <c r="I385" s="4" t="inlineStr">
        <is>
          <t>Site Dream Cosmetics</t>
        </is>
      </c>
      <c r="J385" s="4" t="inlineStr"/>
    </row>
    <row r="386" ht="70" customHeight="1">
      <c r="A386" s="4" t="inlineStr">
        <is>
          <t>Miss</t>
        </is>
      </c>
      <c r="B386" s="4" t="inlineStr"/>
      <c r="C386" s="4" t="inlineStr">
        <is>
          <t>Miss spray déodorant red plum</t>
        </is>
      </c>
      <c r="D386" s="4" t="inlineStr">
        <is>
          <t>Parfum</t>
        </is>
      </c>
      <c r="E386" s="4" t="inlineStr">
        <is>
          <t>Déodorant</t>
        </is>
      </c>
      <c r="F386" s="5" t="inlineStr">
        <is>
          <t>à confirmer</t>
        </is>
      </c>
      <c r="G386" s="4">
        <f>IMAGE("https://raw.githubusercontent.com/leslita06/dreamcosmetics-maquette/main/photos/593.jpg")</f>
        <v/>
      </c>
      <c r="H386" s="4" t="inlineStr">
        <is>
          <t>http://dreamcosmetics.net/fr/product/parfum/d%C3%A9odorant/miss-spray-d%C3%A9odorant-red-plum</t>
        </is>
      </c>
      <c r="I386" s="4" t="inlineStr">
        <is>
          <t>Site Dream Cosmetics</t>
        </is>
      </c>
      <c r="J386" s="4" t="inlineStr"/>
    </row>
    <row r="387" ht="70" customHeight="1">
      <c r="A387" s="4" t="inlineStr">
        <is>
          <t>Perfect white</t>
        </is>
      </c>
      <c r="B387" s="4" t="inlineStr"/>
      <c r="C387" s="4" t="inlineStr">
        <is>
          <t>Perfect white creme</t>
        </is>
      </c>
      <c r="D387" s="4" t="inlineStr">
        <is>
          <t>Visage et corps</t>
        </is>
      </c>
      <c r="E387" s="4" t="inlineStr">
        <is>
          <t>Crème</t>
        </is>
      </c>
      <c r="F387" s="4" t="inlineStr">
        <is>
          <t>150 - 300 ml</t>
        </is>
      </c>
      <c r="G387" s="4">
        <f>IMAGE("https://raw.githubusercontent.com/leslita06/dreamcosmetics-maquette/main/photos/225.jpg")</f>
        <v/>
      </c>
      <c r="H387" s="4" t="inlineStr">
        <is>
          <t>http://dreamcosmetics.net/fr/product/visage-et-corps/cr%C3%A8me/perfect-white-creme</t>
        </is>
      </c>
      <c r="I387" s="4" t="inlineStr">
        <is>
          <t>Site Dream Cosmetics</t>
        </is>
      </c>
      <c r="J387" s="4" t="inlineStr">
        <is>
          <t>Gamme éclaircissante : à ne pas mettre en avant</t>
        </is>
      </c>
    </row>
    <row r="388" ht="70" customHeight="1">
      <c r="A388" s="4" t="inlineStr">
        <is>
          <t>Perfect white</t>
        </is>
      </c>
      <c r="B388" s="4" t="inlineStr"/>
      <c r="C388" s="4" t="inlineStr">
        <is>
          <t>Perfect white creme tube</t>
        </is>
      </c>
      <c r="D388" s="4" t="inlineStr">
        <is>
          <t>Visage et corps</t>
        </is>
      </c>
      <c r="E388" s="4" t="inlineStr">
        <is>
          <t>Crème</t>
        </is>
      </c>
      <c r="F388" s="4" t="inlineStr">
        <is>
          <t>30 ml</t>
        </is>
      </c>
      <c r="G388" s="4">
        <f>IMAGE("https://raw.githubusercontent.com/leslita06/dreamcosmetics-maquette/main/photos/231.jpg")</f>
        <v/>
      </c>
      <c r="H388" s="4" t="inlineStr">
        <is>
          <t>http://dreamcosmetics.net/fr/product/visage-et-corps/cr%C3%A8me/perfect-white-creme-tube</t>
        </is>
      </c>
      <c r="I388" s="4" t="inlineStr">
        <is>
          <t>Site Dream Cosmetics</t>
        </is>
      </c>
      <c r="J388" s="4" t="inlineStr">
        <is>
          <t>Gamme éclaircissante : à ne pas mettre en avant</t>
        </is>
      </c>
    </row>
    <row r="389" ht="70" customHeight="1">
      <c r="A389" s="4" t="inlineStr">
        <is>
          <t>Perfect white</t>
        </is>
      </c>
      <c r="B389" s="4" t="inlineStr"/>
      <c r="C389" s="4" t="inlineStr">
        <is>
          <t>Perfect white dark spot</t>
        </is>
      </c>
      <c r="D389" s="4" t="inlineStr">
        <is>
          <t>Visage et corps</t>
        </is>
      </c>
      <c r="E389" s="4" t="inlineStr">
        <is>
          <t>Dark spot remover</t>
        </is>
      </c>
      <c r="F389" s="5" t="inlineStr">
        <is>
          <t>à confirmer</t>
        </is>
      </c>
      <c r="G389" s="4">
        <f>IMAGE("https://raw.githubusercontent.com/leslita06/dreamcosmetics-maquette/main/photos/227.jpg")</f>
        <v/>
      </c>
      <c r="H389" s="4" t="inlineStr">
        <is>
          <t>http://dreamcosmetics.net/fr/product/visage-et-corps/dark-spot-remover/perfect-white-dark-spot</t>
        </is>
      </c>
      <c r="I389" s="4" t="inlineStr">
        <is>
          <t>Site Dream Cosmetics</t>
        </is>
      </c>
      <c r="J389" s="4" t="inlineStr">
        <is>
          <t>Gamme éclaircissante : à ne pas mettre en avant</t>
        </is>
      </c>
    </row>
    <row r="390" ht="70" customHeight="1">
      <c r="A390" s="4" t="inlineStr">
        <is>
          <t>Perfect white</t>
        </is>
      </c>
      <c r="B390" s="4" t="inlineStr"/>
      <c r="C390" s="4" t="inlineStr">
        <is>
          <t>Perfect white gel douche</t>
        </is>
      </c>
      <c r="D390" s="4" t="inlineStr">
        <is>
          <t>Corps (douche)</t>
        </is>
      </c>
      <c r="E390" s="4" t="inlineStr">
        <is>
          <t>Gel douche</t>
        </is>
      </c>
      <c r="F390" s="5" t="inlineStr">
        <is>
          <t>à confirmer</t>
        </is>
      </c>
      <c r="G390" s="4">
        <f>IMAGE("https://raw.githubusercontent.com/leslita06/dreamcosmetics-maquette/main/photos/228.jpg")</f>
        <v/>
      </c>
      <c r="H390" s="4" t="inlineStr">
        <is>
          <t>http://dreamcosmetics.net/fr/product/visage-et-corps/gel-douche/perfect-white-gel-douche</t>
        </is>
      </c>
      <c r="I390" s="4" t="inlineStr">
        <is>
          <t>Site Dream Cosmetics</t>
        </is>
      </c>
      <c r="J390" s="4" t="inlineStr">
        <is>
          <t>Gamme éclaircissante : à ne pas mettre en avant</t>
        </is>
      </c>
    </row>
    <row r="391" ht="70" customHeight="1">
      <c r="A391" s="4" t="inlineStr">
        <is>
          <t>Perfect white</t>
        </is>
      </c>
      <c r="B391" s="4" t="inlineStr"/>
      <c r="C391" s="4" t="inlineStr">
        <is>
          <t>Perfect white lait</t>
        </is>
      </c>
      <c r="D391" s="4" t="inlineStr">
        <is>
          <t>Visage et corps</t>
        </is>
      </c>
      <c r="E391" s="4" t="inlineStr">
        <is>
          <t>Lait</t>
        </is>
      </c>
      <c r="F391" s="4" t="inlineStr">
        <is>
          <t>250 ml</t>
        </is>
      </c>
      <c r="G391" s="4">
        <f>IMAGE("https://raw.githubusercontent.com/leslita06/dreamcosmetics-maquette/main/photos/226.jpg")</f>
        <v/>
      </c>
      <c r="H391" s="4" t="inlineStr">
        <is>
          <t>http://dreamcosmetics.net/fr/product/visage-et-corps/lait/perfect-white-lait</t>
        </is>
      </c>
      <c r="I391" s="4" t="inlineStr">
        <is>
          <t>Site Dream Cosmetics</t>
        </is>
      </c>
      <c r="J391" s="4" t="inlineStr">
        <is>
          <t>Gamme éclaircissante : à ne pas mettre en avant</t>
        </is>
      </c>
    </row>
    <row r="392" ht="70" customHeight="1">
      <c r="A392" s="4" t="inlineStr">
        <is>
          <t>Perfect white</t>
        </is>
      </c>
      <c r="B392" s="4" t="inlineStr"/>
      <c r="C392" s="4" t="inlineStr">
        <is>
          <t>Perfect white savon</t>
        </is>
      </c>
      <c r="D392" s="4" t="inlineStr">
        <is>
          <t>Savon</t>
        </is>
      </c>
      <c r="E392" s="4" t="inlineStr">
        <is>
          <t>Savon</t>
        </is>
      </c>
      <c r="F392" s="4" t="inlineStr">
        <is>
          <t>180 g</t>
        </is>
      </c>
      <c r="G392" s="4">
        <f>IMAGE("https://raw.githubusercontent.com/leslita06/dreamcosmetics-maquette/main/photos/229.jpg")</f>
        <v/>
      </c>
      <c r="H392" s="4" t="inlineStr">
        <is>
          <t>http://dreamcosmetics.net/fr/product/visage-et-corps/savon/perfect-white-savon</t>
        </is>
      </c>
      <c r="I392" s="4" t="inlineStr">
        <is>
          <t>Site Dream Cosmetics</t>
        </is>
      </c>
      <c r="J392" s="4" t="inlineStr">
        <is>
          <t>Gamme éclaircissante : à ne pas mettre en avant</t>
        </is>
      </c>
    </row>
    <row r="393" ht="70" customHeight="1">
      <c r="A393" s="4" t="inlineStr">
        <is>
          <t>Perfect white</t>
        </is>
      </c>
      <c r="B393" s="4" t="inlineStr"/>
      <c r="C393" s="4" t="inlineStr">
        <is>
          <t>Perfect white serum</t>
        </is>
      </c>
      <c r="D393" s="4" t="inlineStr">
        <is>
          <t>Visage et corps</t>
        </is>
      </c>
      <c r="E393" s="4" t="inlineStr">
        <is>
          <t>Sérum</t>
        </is>
      </c>
      <c r="F393" s="4" t="inlineStr">
        <is>
          <t>30 ml</t>
        </is>
      </c>
      <c r="G393" s="4">
        <f>IMAGE("https://raw.githubusercontent.com/leslita06/dreamcosmetics-maquette/main/photos/230.jpg")</f>
        <v/>
      </c>
      <c r="H393" s="4" t="inlineStr">
        <is>
          <t>http://dreamcosmetics.net/fr/product/visage-et-corps/s%C3%A9rum/perfect-white-serum</t>
        </is>
      </c>
      <c r="I393" s="4" t="inlineStr">
        <is>
          <t>Site Dream Cosmetics</t>
        </is>
      </c>
      <c r="J393" s="4" t="inlineStr">
        <is>
          <t>Gamme éclaircissante : à ne pas mettre en avant</t>
        </is>
      </c>
    </row>
    <row r="394" ht="70" customHeight="1">
      <c r="A394" s="4" t="inlineStr">
        <is>
          <t>Perle claire</t>
        </is>
      </c>
      <c r="B394" s="4" t="inlineStr"/>
      <c r="C394" s="4" t="inlineStr">
        <is>
          <t>Perle claire creme</t>
        </is>
      </c>
      <c r="D394" s="4" t="inlineStr">
        <is>
          <t>Visage et corps</t>
        </is>
      </c>
      <c r="E394" s="4" t="inlineStr">
        <is>
          <t>Crème</t>
        </is>
      </c>
      <c r="F394" s="5" t="inlineStr">
        <is>
          <t>à confirmer</t>
        </is>
      </c>
      <c r="G394" s="4">
        <f>IMAGE("https://raw.githubusercontent.com/leslita06/dreamcosmetics-maquette/main/photos/232.jpg")</f>
        <v/>
      </c>
      <c r="H394" s="4" t="inlineStr">
        <is>
          <t>http://dreamcosmetics.net/fr/product/visage-et-corps/cr%C3%A8me/perle-claire-creme</t>
        </is>
      </c>
      <c r="I394" s="4" t="inlineStr">
        <is>
          <t>Site Dream Cosmetics</t>
        </is>
      </c>
      <c r="J394" s="4" t="inlineStr">
        <is>
          <t>Gamme éclaircissante : à ne pas mettre en avant</t>
        </is>
      </c>
    </row>
    <row r="395" ht="70" customHeight="1">
      <c r="A395" s="4" t="inlineStr">
        <is>
          <t>Perle claire</t>
        </is>
      </c>
      <c r="B395" s="4" t="inlineStr"/>
      <c r="C395" s="4" t="inlineStr">
        <is>
          <t>Perle claire huile</t>
        </is>
      </c>
      <c r="D395" s="4" t="inlineStr">
        <is>
          <t>Visage et corps</t>
        </is>
      </c>
      <c r="E395" s="4" t="inlineStr">
        <is>
          <t>Huile</t>
        </is>
      </c>
      <c r="F395" s="5" t="inlineStr">
        <is>
          <t>à confirmer</t>
        </is>
      </c>
      <c r="G395" s="4">
        <f>IMAGE("https://raw.githubusercontent.com/leslita06/dreamcosmetics-maquette/main/photos/233.jpg")</f>
        <v/>
      </c>
      <c r="H395" s="4" t="inlineStr">
        <is>
          <t>http://dreamcosmetics.net/fr/product/visage-et-corps/huile/perle-claire-huile</t>
        </is>
      </c>
      <c r="I395" s="4" t="inlineStr">
        <is>
          <t>Site Dream Cosmetics</t>
        </is>
      </c>
      <c r="J395" s="4" t="inlineStr">
        <is>
          <t>Gamme éclaircissante : à ne pas mettre en avant</t>
        </is>
      </c>
    </row>
    <row r="396" ht="70" customHeight="1">
      <c r="A396" s="4" t="inlineStr">
        <is>
          <t>Perle claire</t>
        </is>
      </c>
      <c r="B396" s="4" t="inlineStr"/>
      <c r="C396" s="4" t="inlineStr">
        <is>
          <t>Perle claire lait</t>
        </is>
      </c>
      <c r="D396" s="4" t="inlineStr">
        <is>
          <t>Visage et corps</t>
        </is>
      </c>
      <c r="E396" s="4" t="inlineStr">
        <is>
          <t>Lait</t>
        </is>
      </c>
      <c r="F396" s="5" t="inlineStr">
        <is>
          <t>à confirmer</t>
        </is>
      </c>
      <c r="G396" s="4">
        <f>IMAGE("https://raw.githubusercontent.com/leslita06/dreamcosmetics-maquette/main/photos/234.jpg")</f>
        <v/>
      </c>
      <c r="H396" s="4" t="inlineStr">
        <is>
          <t>http://dreamcosmetics.net/fr/product/visage-et-corps/lait/perle-claire-lait</t>
        </is>
      </c>
      <c r="I396" s="4" t="inlineStr">
        <is>
          <t>Site Dream Cosmetics</t>
        </is>
      </c>
      <c r="J396" s="4" t="inlineStr">
        <is>
          <t>Gamme éclaircissante : à ne pas mettre en avant</t>
        </is>
      </c>
    </row>
    <row r="397" ht="70" customHeight="1">
      <c r="A397" s="4" t="inlineStr">
        <is>
          <t>Perle claire</t>
        </is>
      </c>
      <c r="B397" s="4" t="inlineStr"/>
      <c r="C397" s="4" t="inlineStr">
        <is>
          <t>Perle claire savon</t>
        </is>
      </c>
      <c r="D397" s="4" t="inlineStr">
        <is>
          <t>Savon</t>
        </is>
      </c>
      <c r="E397" s="4" t="inlineStr">
        <is>
          <t>Savon</t>
        </is>
      </c>
      <c r="F397" s="5" t="inlineStr">
        <is>
          <t>à confirmer</t>
        </is>
      </c>
      <c r="G397" s="4">
        <f>IMAGE("https://raw.githubusercontent.com/leslita06/dreamcosmetics-maquette/main/photos/235.jpg")</f>
        <v/>
      </c>
      <c r="H397" s="4" t="inlineStr">
        <is>
          <t>http://dreamcosmetics.net/fr/product/visage-et-corps/savon/perle-claire-savon</t>
        </is>
      </c>
      <c r="I397" s="4" t="inlineStr">
        <is>
          <t>Site Dream Cosmetics</t>
        </is>
      </c>
      <c r="J397" s="4" t="inlineStr">
        <is>
          <t>Gamme éclaircissante : à ne pas mettre en avant</t>
        </is>
      </c>
    </row>
    <row r="398" ht="70" customHeight="1">
      <c r="A398" s="4" t="inlineStr">
        <is>
          <t>Pili-pili method</t>
        </is>
      </c>
      <c r="B398" s="4" t="inlineStr"/>
      <c r="C398" s="4" t="inlineStr">
        <is>
          <t>PILI-PILI METHOD</t>
        </is>
      </c>
      <c r="D398" s="4" t="inlineStr">
        <is>
          <t>Corps (douche)</t>
        </is>
      </c>
      <c r="E398" s="4" t="inlineStr">
        <is>
          <t>Gel douche</t>
        </is>
      </c>
      <c r="F398" s="5" t="inlineStr">
        <is>
          <t>à confirmer</t>
        </is>
      </c>
      <c r="G398" s="4">
        <f>IMAGE("https://raw.githubusercontent.com/leslita06/dreamcosmetics-maquette/main/photos/637.jpg")</f>
        <v/>
      </c>
      <c r="H398" s="4" t="inlineStr">
        <is>
          <t>http://dreamcosmetics.net/fr/product/visage-et-corps/gel-douche/pili-pili-method</t>
        </is>
      </c>
      <c r="I398" s="4" t="inlineStr">
        <is>
          <t>Site Dream Cosmetics</t>
        </is>
      </c>
      <c r="J398" s="4" t="inlineStr"/>
    </row>
    <row r="399" ht="70" customHeight="1">
      <c r="A399" s="4" t="inlineStr">
        <is>
          <t>Pili-pili method</t>
        </is>
      </c>
      <c r="B399" s="4" t="inlineStr"/>
      <c r="C399" s="4" t="inlineStr">
        <is>
          <t>PILI-PILI METHOD</t>
        </is>
      </c>
      <c r="D399" s="4" t="inlineStr">
        <is>
          <t>Visage et corps</t>
        </is>
      </c>
      <c r="E399" s="4" t="inlineStr">
        <is>
          <t>Crème</t>
        </is>
      </c>
      <c r="F399" s="5" t="inlineStr">
        <is>
          <t>à confirmer</t>
        </is>
      </c>
      <c r="G399" s="4">
        <f>IMAGE("https://raw.githubusercontent.com/leslita06/dreamcosmetics-maquette/main/photos/668.jpg")</f>
        <v/>
      </c>
      <c r="H399" s="4" t="inlineStr">
        <is>
          <t>http://dreamcosmetics.net/fr/product/visage-et-corps/cr%C3%A8me/pili-pili-method</t>
        </is>
      </c>
      <c r="I399" s="4" t="inlineStr">
        <is>
          <t>Site Dream Cosmetics</t>
        </is>
      </c>
      <c r="J399" s="4" t="inlineStr"/>
    </row>
    <row r="400" ht="70" customHeight="1">
      <c r="A400" s="4" t="inlineStr">
        <is>
          <t>Pili-pili method</t>
        </is>
      </c>
      <c r="B400" s="4" t="inlineStr"/>
      <c r="C400" s="4" t="inlineStr">
        <is>
          <t>PILI-PILI METHOD</t>
        </is>
      </c>
      <c r="D400" s="4" t="inlineStr">
        <is>
          <t>Visage et corps</t>
        </is>
      </c>
      <c r="E400" s="4" t="inlineStr">
        <is>
          <t>Huile</t>
        </is>
      </c>
      <c r="F400" s="4" t="inlineStr">
        <is>
          <t>50 ml</t>
        </is>
      </c>
      <c r="G400" s="4">
        <f>IMAGE("https://raw.githubusercontent.com/leslita06/dreamcosmetics-maquette/main/photos/636.jpg")</f>
        <v/>
      </c>
      <c r="H400" s="4" t="inlineStr">
        <is>
          <t>http://dreamcosmetics.net/fr/product/visage-et-corps/huile/pili-pili-method</t>
        </is>
      </c>
      <c r="I400" s="4" t="inlineStr">
        <is>
          <t>Site Dream Cosmetics</t>
        </is>
      </c>
      <c r="J400" s="4" t="inlineStr"/>
    </row>
    <row r="401" ht="70" customHeight="1">
      <c r="A401" s="4" t="inlineStr">
        <is>
          <t>Pili-pili method</t>
        </is>
      </c>
      <c r="B401" s="4" t="inlineStr"/>
      <c r="C401" s="4" t="inlineStr">
        <is>
          <t>PILI-PILI METHOD</t>
        </is>
      </c>
      <c r="D401" s="4" t="inlineStr">
        <is>
          <t>Savon</t>
        </is>
      </c>
      <c r="E401" s="4" t="inlineStr">
        <is>
          <t>Savon de toilette</t>
        </is>
      </c>
      <c r="F401" s="4" t="inlineStr">
        <is>
          <t>180 g</t>
        </is>
      </c>
      <c r="G401" s="4">
        <f>IMAGE("https://raw.githubusercontent.com/leslita06/dreamcosmetics-maquette/main/photos/635.jpg")</f>
        <v/>
      </c>
      <c r="H401" s="4" t="inlineStr">
        <is>
          <t>http://dreamcosmetics.net/fr/product/visage-et-corps/savon-de-toilette/pili-pili-method</t>
        </is>
      </c>
      <c r="I401" s="4" t="inlineStr">
        <is>
          <t>Site Dream Cosmetics</t>
        </is>
      </c>
      <c r="J401" s="4" t="inlineStr"/>
    </row>
    <row r="402" ht="70" customHeight="1">
      <c r="A402" s="4" t="inlineStr">
        <is>
          <t>Pili-pili method</t>
        </is>
      </c>
      <c r="B402" s="4" t="inlineStr"/>
      <c r="C402" s="4" t="inlineStr">
        <is>
          <t>PILI-PILI METHOD</t>
        </is>
      </c>
      <c r="D402" s="4" t="inlineStr">
        <is>
          <t>Visage et corps</t>
        </is>
      </c>
      <c r="E402" s="4" t="inlineStr">
        <is>
          <t>Lait</t>
        </is>
      </c>
      <c r="F402" s="4" t="inlineStr">
        <is>
          <t>200 - 450 ml</t>
        </is>
      </c>
      <c r="G402" s="4">
        <f>IMAGE("https://raw.githubusercontent.com/leslita06/dreamcosmetics-maquette/main/photos/634.jpg")</f>
        <v/>
      </c>
      <c r="H402" s="4" t="inlineStr">
        <is>
          <t>http://dreamcosmetics.net/fr/product/visage-et-corps/lait/pili-pili-method</t>
        </is>
      </c>
      <c r="I402" s="4" t="inlineStr">
        <is>
          <t>Site Dream Cosmetics</t>
        </is>
      </c>
      <c r="J402" s="4" t="inlineStr"/>
    </row>
    <row r="403" ht="70" customHeight="1">
      <c r="A403" s="4" t="inlineStr">
        <is>
          <t>Pretty White</t>
        </is>
      </c>
      <c r="B403" s="4" t="inlineStr"/>
      <c r="C403" s="4" t="inlineStr">
        <is>
          <t>PRETTY Gel douche gommant microbilles exfoliantes</t>
        </is>
      </c>
      <c r="D403" s="4" t="inlineStr">
        <is>
          <t>Corps (douche)</t>
        </is>
      </c>
      <c r="E403" s="4" t="inlineStr">
        <is>
          <t>Gel douche</t>
        </is>
      </c>
      <c r="F403" s="5" t="inlineStr">
        <is>
          <t>à confirmer</t>
        </is>
      </c>
      <c r="G403" s="4">
        <f>IMAGE("https://raw.githubusercontent.com/leslita06/dreamcosmetics-maquette/main/photos/406.jpg")</f>
        <v/>
      </c>
      <c r="H403" s="4" t="inlineStr">
        <is>
          <t>http://dreamcosmetics.net/fr/product/visage-et-corps/gel-douche/pretty-gel-douche-gommant-microbilles-exfoliantes</t>
        </is>
      </c>
      <c r="I403" s="4" t="inlineStr">
        <is>
          <t>Site Dream Cosmetics</t>
        </is>
      </c>
      <c r="J403" s="4" t="inlineStr">
        <is>
          <t>Gamme éclaircissante : à ne pas mettre en avant</t>
        </is>
      </c>
    </row>
    <row r="404" ht="70" customHeight="1">
      <c r="A404" s="4" t="inlineStr">
        <is>
          <t>Pretty White</t>
        </is>
      </c>
      <c r="B404" s="4" t="inlineStr"/>
      <c r="C404" s="4" t="inlineStr">
        <is>
          <t>Pretty White Booster Lightdrop sérumactivateur d’éclat</t>
        </is>
      </c>
      <c r="D404" s="4" t="inlineStr">
        <is>
          <t>Visage et corps</t>
        </is>
      </c>
      <c r="E404" s="4" t="inlineStr">
        <is>
          <t>Sérum</t>
        </is>
      </c>
      <c r="F404" s="5" t="inlineStr">
        <is>
          <t>à confirmer</t>
        </is>
      </c>
      <c r="G404" s="4">
        <f>IMAGE("https://raw.githubusercontent.com/leslita06/dreamcosmetics-maquette/main/photos/409.jpg")</f>
        <v/>
      </c>
      <c r="H404" s="4" t="inlineStr">
        <is>
          <t>http://dreamcosmetics.net/fr/product/visage-et-corps/s%C3%A9rum/pretty-white-booster-lightdrop-s%C3%A9rumactivateur-d%E2%80%99%C3%A9clat</t>
        </is>
      </c>
      <c r="I404" s="4" t="inlineStr">
        <is>
          <t>Site Dream Cosmetics</t>
        </is>
      </c>
      <c r="J404" s="4" t="inlineStr">
        <is>
          <t>Gamme éclaircissante : à ne pas mettre en avant</t>
        </is>
      </c>
    </row>
    <row r="405" ht="70" customHeight="1">
      <c r="A405" s="4" t="inlineStr">
        <is>
          <t>Pretty White</t>
        </is>
      </c>
      <c r="B405" s="4" t="inlineStr"/>
      <c r="C405" s="4" t="inlineStr">
        <is>
          <t>Pretty White crème clarifiante</t>
        </is>
      </c>
      <c r="D405" s="4" t="inlineStr">
        <is>
          <t>Visage et corps</t>
        </is>
      </c>
      <c r="E405" s="4" t="inlineStr">
        <is>
          <t>Crème</t>
        </is>
      </c>
      <c r="F405" s="5" t="inlineStr">
        <is>
          <t>à confirmer</t>
        </is>
      </c>
      <c r="G405" s="4">
        <f>IMAGE("https://raw.githubusercontent.com/leslita06/dreamcosmetics-maquette/main/photos/403.jpg")</f>
        <v/>
      </c>
      <c r="H405" s="4" t="inlineStr">
        <is>
          <t>http://dreamcosmetics.net/fr/product/visage-et-corps/cr%C3%A8me/pretty-white-cr%C3%A8me-clarifiante</t>
        </is>
      </c>
      <c r="I405" s="4" t="inlineStr">
        <is>
          <t>Site Dream Cosmetics</t>
        </is>
      </c>
      <c r="J405" s="4" t="inlineStr">
        <is>
          <t>Gamme éclaircissante : à ne pas mettre en avant</t>
        </is>
      </c>
    </row>
    <row r="406" ht="70" customHeight="1">
      <c r="A406" s="4" t="inlineStr">
        <is>
          <t>Pretty White</t>
        </is>
      </c>
      <c r="B406" s="4" t="inlineStr"/>
      <c r="C406" s="4" t="inlineStr">
        <is>
          <t>PRETTY WHITE crème clarifiante intense</t>
        </is>
      </c>
      <c r="D406" s="4" t="inlineStr">
        <is>
          <t>Visage et corps</t>
        </is>
      </c>
      <c r="E406" s="4" t="inlineStr">
        <is>
          <t>Crème</t>
        </is>
      </c>
      <c r="F406" s="5" t="inlineStr">
        <is>
          <t>à confirmer</t>
        </is>
      </c>
      <c r="G406" s="4">
        <f>IMAGE("https://raw.githubusercontent.com/leslita06/dreamcosmetics-maquette/main/photos/438.jpg")</f>
        <v/>
      </c>
      <c r="H406" s="4" t="inlineStr">
        <is>
          <t>http://dreamcosmetics.net/fr/product/visage-et-corps/cr%C3%A8me/pretty-white-cr%C3%A8me-clarifiante-intense</t>
        </is>
      </c>
      <c r="I406" s="4" t="inlineStr">
        <is>
          <t>Site Dream Cosmetics</t>
        </is>
      </c>
      <c r="J406" s="4" t="inlineStr">
        <is>
          <t>Gamme éclaircissante : à ne pas mettre en avant</t>
        </is>
      </c>
    </row>
    <row r="407" ht="70" customHeight="1">
      <c r="A407" s="4" t="inlineStr">
        <is>
          <t>Pretty White</t>
        </is>
      </c>
      <c r="B407" s="4" t="inlineStr"/>
      <c r="C407" s="4" t="inlineStr">
        <is>
          <t>PRETTY WHITE Dark spot remover</t>
        </is>
      </c>
      <c r="D407" s="4" t="inlineStr">
        <is>
          <t>Visage et corps</t>
        </is>
      </c>
      <c r="E407" s="4" t="inlineStr">
        <is>
          <t>Dark spot remover</t>
        </is>
      </c>
      <c r="F407" s="5" t="inlineStr">
        <is>
          <t>à confirmer</t>
        </is>
      </c>
      <c r="G407" s="4">
        <f>IMAGE("https://raw.githubusercontent.com/leslita06/dreamcosmetics-maquette/main/photos/408.jpg")</f>
        <v/>
      </c>
      <c r="H407" s="4" t="inlineStr">
        <is>
          <t>http://dreamcosmetics.net/fr/product/visage-et-corps/dark-spot-remover/pretty-white-dark-spot-remover</t>
        </is>
      </c>
      <c r="I407" s="4" t="inlineStr">
        <is>
          <t>Site Dream Cosmetics</t>
        </is>
      </c>
      <c r="J407" s="4" t="inlineStr">
        <is>
          <t>Gamme éclaircissante : à ne pas mettre en avant</t>
        </is>
      </c>
    </row>
    <row r="408" ht="70" customHeight="1">
      <c r="A408" s="4" t="inlineStr">
        <is>
          <t>Pretty White</t>
        </is>
      </c>
      <c r="B408" s="4" t="inlineStr"/>
      <c r="C408" s="4" t="inlineStr">
        <is>
          <t>PRETTY WHITE gel douche clarifiant</t>
        </is>
      </c>
      <c r="D408" s="4" t="inlineStr">
        <is>
          <t>Corps (douche)</t>
        </is>
      </c>
      <c r="E408" s="4" t="inlineStr">
        <is>
          <t>Gel douche</t>
        </is>
      </c>
      <c r="F408" s="5" t="inlineStr">
        <is>
          <t>à confirmer</t>
        </is>
      </c>
      <c r="G408" s="4">
        <f>IMAGE("https://raw.githubusercontent.com/leslita06/dreamcosmetics-maquette/main/photos/437.jpg")</f>
        <v/>
      </c>
      <c r="H408" s="4" t="inlineStr">
        <is>
          <t>http://dreamcosmetics.net/fr/product/visage-et-corps/gel-douche/pretty-white-gel-douche-clarifiant</t>
        </is>
      </c>
      <c r="I408" s="4" t="inlineStr">
        <is>
          <t>Site Dream Cosmetics</t>
        </is>
      </c>
      <c r="J408" s="4" t="inlineStr">
        <is>
          <t>Gamme éclaircissante : à ne pas mettre en avant</t>
        </is>
      </c>
    </row>
    <row r="409" ht="70" customHeight="1">
      <c r="A409" s="4" t="inlineStr">
        <is>
          <t>Pretty White</t>
        </is>
      </c>
      <c r="B409" s="4" t="inlineStr"/>
      <c r="C409" s="4" t="inlineStr">
        <is>
          <t>PRETTY WHITE Huile</t>
        </is>
      </c>
      <c r="D409" s="4" t="inlineStr">
        <is>
          <t>Visage et corps</t>
        </is>
      </c>
      <c r="E409" s="4" t="inlineStr">
        <is>
          <t>Huile</t>
        </is>
      </c>
      <c r="F409" s="5" t="inlineStr">
        <is>
          <t>à confirmer</t>
        </is>
      </c>
      <c r="G409" s="4">
        <f>IMAGE("https://raw.githubusercontent.com/leslita06/dreamcosmetics-maquette/main/photos/407.jpg")</f>
        <v/>
      </c>
      <c r="H409" s="4" t="inlineStr">
        <is>
          <t>http://dreamcosmetics.net/fr/product/visage-et-corps/huile/pretty-white-huile</t>
        </is>
      </c>
      <c r="I409" s="4" t="inlineStr">
        <is>
          <t>Site Dream Cosmetics</t>
        </is>
      </c>
      <c r="J409" s="4" t="inlineStr">
        <is>
          <t>Gamme éclaircissante : à ne pas mettre en avant</t>
        </is>
      </c>
    </row>
    <row r="410" ht="70" customHeight="1">
      <c r="A410" s="4" t="inlineStr">
        <is>
          <t>Pretty White</t>
        </is>
      </c>
      <c r="B410" s="4" t="inlineStr"/>
      <c r="C410" s="4" t="inlineStr">
        <is>
          <t>Pretty White Lait clarifiant</t>
        </is>
      </c>
      <c r="D410" s="4" t="inlineStr">
        <is>
          <t>Visage et corps</t>
        </is>
      </c>
      <c r="E410" s="4" t="inlineStr">
        <is>
          <t>Lait</t>
        </is>
      </c>
      <c r="F410" s="5" t="inlineStr">
        <is>
          <t>à confirmer</t>
        </is>
      </c>
      <c r="G410" s="4">
        <f>IMAGE("https://raw.githubusercontent.com/leslita06/dreamcosmetics-maquette/main/photos/436.jpg")</f>
        <v/>
      </c>
      <c r="H410" s="4" t="inlineStr">
        <is>
          <t>http://dreamcosmetics.net/fr/product/visage-et-corps/lait/pretty-white-lait-clarifiant</t>
        </is>
      </c>
      <c r="I410" s="4" t="inlineStr">
        <is>
          <t>Site Dream Cosmetics</t>
        </is>
      </c>
      <c r="J410" s="4" t="inlineStr">
        <is>
          <t>Gamme éclaircissante : à ne pas mettre en avant</t>
        </is>
      </c>
    </row>
    <row r="411" ht="70" customHeight="1">
      <c r="A411" s="4" t="inlineStr">
        <is>
          <t>Pretty White</t>
        </is>
      </c>
      <c r="B411" s="4" t="inlineStr"/>
      <c r="C411" s="4" t="inlineStr">
        <is>
          <t>PRETTY WHITE Savon clarifian</t>
        </is>
      </c>
      <c r="D411" s="4" t="inlineStr">
        <is>
          <t>Savon</t>
        </is>
      </c>
      <c r="E411" s="4" t="inlineStr">
        <is>
          <t>Savon</t>
        </is>
      </c>
      <c r="F411" s="5" t="inlineStr">
        <is>
          <t>à confirmer</t>
        </is>
      </c>
      <c r="G411" s="4">
        <f>IMAGE("https://raw.githubusercontent.com/leslita06/dreamcosmetics-maquette/main/photos/405.jpg")</f>
        <v/>
      </c>
      <c r="H411" s="4" t="inlineStr">
        <is>
          <t>http://dreamcosmetics.net/fr/product/visage-et-corps/savon/pretty-white-savon-clarifian</t>
        </is>
      </c>
      <c r="I411" s="4" t="inlineStr">
        <is>
          <t>Site Dream Cosmetics</t>
        </is>
      </c>
      <c r="J411" s="4" t="inlineStr">
        <is>
          <t>Gamme éclaircissante : à ne pas mettre en avant</t>
        </is>
      </c>
    </row>
    <row r="412" ht="70" customHeight="1">
      <c r="A412" s="4" t="inlineStr">
        <is>
          <t>Spring</t>
        </is>
      </c>
      <c r="B412" s="4" t="inlineStr"/>
      <c r="C412" s="4" t="inlineStr">
        <is>
          <t>Spring savon antibactérien glycérine</t>
        </is>
      </c>
      <c r="D412" s="4" t="inlineStr">
        <is>
          <t>Savon</t>
        </is>
      </c>
      <c r="E412" s="4" t="inlineStr">
        <is>
          <t>Savon</t>
        </is>
      </c>
      <c r="F412" s="4" t="inlineStr">
        <is>
          <t>300 gr</t>
        </is>
      </c>
      <c r="G412" s="4">
        <f>IMAGE("https://raw.githubusercontent.com/leslita06/dreamcosmetics-maquette/main/photos/611.jpg")</f>
        <v/>
      </c>
      <c r="H412" s="4" t="inlineStr">
        <is>
          <t>http://dreamcosmetics.net/fr/product/hygi%C3%A8ne-et-bain/savon/spring-savon-antibact%C3%A9rien-glyc%C3%A9rine-0</t>
        </is>
      </c>
      <c r="I412" s="4" t="inlineStr">
        <is>
          <t>Site Dream Cosmetics</t>
        </is>
      </c>
      <c r="J412" s="4" t="inlineStr"/>
    </row>
    <row r="413" ht="70" customHeight="1">
      <c r="A413" s="4" t="inlineStr">
        <is>
          <t>Spring</t>
        </is>
      </c>
      <c r="B413" s="4" t="inlineStr"/>
      <c r="C413" s="4" t="inlineStr">
        <is>
          <t>Spring savon antibactérien glycérine</t>
        </is>
      </c>
      <c r="D413" s="4" t="inlineStr">
        <is>
          <t>Savon</t>
        </is>
      </c>
      <c r="E413" s="4" t="inlineStr">
        <is>
          <t>Savon</t>
        </is>
      </c>
      <c r="F413" s="4" t="inlineStr">
        <is>
          <t>4x100 gr</t>
        </is>
      </c>
      <c r="G413" s="4">
        <f>IMAGE("https://raw.githubusercontent.com/leslita06/dreamcosmetics-maquette/main/photos/610.jpg")</f>
        <v/>
      </c>
      <c r="H413" s="4" t="inlineStr">
        <is>
          <t>http://dreamcosmetics.net/fr/product/hygi%C3%A8ne-et-bain/savon/spring-savon-antibact%C3%A9rien-glyc%C3%A9rine</t>
        </is>
      </c>
      <c r="I413" s="4" t="inlineStr">
        <is>
          <t>Site Dream Cosmetics</t>
        </is>
      </c>
      <c r="J413" s="4" t="inlineStr"/>
    </row>
    <row r="414" ht="70" customHeight="1">
      <c r="A414" s="4" t="inlineStr">
        <is>
          <t>Spring</t>
        </is>
      </c>
      <c r="B414" s="4" t="inlineStr"/>
      <c r="C414" s="4" t="inlineStr">
        <is>
          <t>Spring savon antibactérien glycérine &amp; citron</t>
        </is>
      </c>
      <c r="D414" s="4" t="inlineStr">
        <is>
          <t>Savon</t>
        </is>
      </c>
      <c r="E414" s="4" t="inlineStr">
        <is>
          <t>Savon</t>
        </is>
      </c>
      <c r="F414" s="4" t="inlineStr">
        <is>
          <t>300 gr</t>
        </is>
      </c>
      <c r="G414" s="4">
        <f>IMAGE("https://raw.githubusercontent.com/leslita06/dreamcosmetics-maquette/main/photos/584.jpg")</f>
        <v/>
      </c>
      <c r="H414" s="4" t="inlineStr">
        <is>
          <t>http://dreamcosmetics.net/fr/product/hygi%C3%A8ne-et-bain/savon/spring-savon-antibact%C3%A9rien-glyc%C3%A9rine-citron-0</t>
        </is>
      </c>
      <c r="I414" s="4" t="inlineStr">
        <is>
          <t>Site Dream Cosmetics</t>
        </is>
      </c>
      <c r="J414" s="4" t="inlineStr"/>
    </row>
    <row r="415" ht="70" customHeight="1">
      <c r="A415" s="4" t="inlineStr">
        <is>
          <t>Spring</t>
        </is>
      </c>
      <c r="B415" s="4" t="inlineStr"/>
      <c r="C415" s="4" t="inlineStr">
        <is>
          <t>Spring savon antibactérien glycérine &amp; citron</t>
        </is>
      </c>
      <c r="D415" s="4" t="inlineStr">
        <is>
          <t>Savon</t>
        </is>
      </c>
      <c r="E415" s="4" t="inlineStr">
        <is>
          <t>Savon</t>
        </is>
      </c>
      <c r="F415" s="4" t="inlineStr">
        <is>
          <t>4x100 gr</t>
        </is>
      </c>
      <c r="G415" s="4">
        <f>IMAGE("https://raw.githubusercontent.com/leslita06/dreamcosmetics-maquette/main/photos/585.jpg")</f>
        <v/>
      </c>
      <c r="H415" s="4" t="inlineStr">
        <is>
          <t>http://dreamcosmetics.net/fr/product/hygi%C3%A8ne-et-bain/savon/spring-savon-antibact%C3%A9rien-glyc%C3%A9rine-citron</t>
        </is>
      </c>
      <c r="I415" s="4" t="inlineStr">
        <is>
          <t>Site Dream Cosmetics</t>
        </is>
      </c>
      <c r="J415" s="4" t="inlineStr"/>
    </row>
    <row r="416" ht="70" customHeight="1">
      <c r="A416" s="4" t="inlineStr">
        <is>
          <t>Spring</t>
        </is>
      </c>
      <c r="B416" s="4" t="inlineStr"/>
      <c r="C416" s="4" t="inlineStr">
        <is>
          <t>Spring savon de beauté harmonie glycérine</t>
        </is>
      </c>
      <c r="D416" s="4" t="inlineStr">
        <is>
          <t>Savon</t>
        </is>
      </c>
      <c r="E416" s="4" t="inlineStr">
        <is>
          <t>Savon</t>
        </is>
      </c>
      <c r="F416" s="4" t="inlineStr">
        <is>
          <t>300 gr</t>
        </is>
      </c>
      <c r="G416" s="4">
        <f>IMAGE("https://raw.githubusercontent.com/leslita06/dreamcosmetics-maquette/main/photos/580.jpg")</f>
        <v/>
      </c>
      <c r="H416" s="4" t="inlineStr">
        <is>
          <t>http://dreamcosmetics.net/fr/product/hygi%C3%A8ne-et-bain/savon/spring-savon-de-beaut%C3%A9-harmonie-glyc%C3%A9rine</t>
        </is>
      </c>
      <c r="I416" s="4" t="inlineStr">
        <is>
          <t>Site Dream Cosmetics</t>
        </is>
      </c>
      <c r="J416" s="4" t="inlineStr"/>
    </row>
    <row r="417" ht="70" customHeight="1">
      <c r="A417" s="4" t="inlineStr">
        <is>
          <t>Spring</t>
        </is>
      </c>
      <c r="B417" s="4" t="inlineStr"/>
      <c r="C417" s="4" t="inlineStr">
        <is>
          <t>Spring savon de beauté harmonie glycérine</t>
        </is>
      </c>
      <c r="D417" s="4" t="inlineStr">
        <is>
          <t>Savon</t>
        </is>
      </c>
      <c r="E417" s="4" t="inlineStr">
        <is>
          <t>Savon</t>
        </is>
      </c>
      <c r="F417" s="5" t="inlineStr">
        <is>
          <t>à confirmer</t>
        </is>
      </c>
      <c r="G417" s="4">
        <f>IMAGE("https://raw.githubusercontent.com/leslita06/dreamcosmetics-maquette/main/photos/588.jpg")</f>
        <v/>
      </c>
      <c r="H417" s="4" t="inlineStr">
        <is>
          <t>http://dreamcosmetics.net/fr/product/hygi%C3%A8ne-et-bain/savon/spring-savon-de-beaut%C3%A9-harmonie-glyc%C3%A9rine-0</t>
        </is>
      </c>
      <c r="I417" s="4" t="inlineStr">
        <is>
          <t>Site Dream Cosmetics</t>
        </is>
      </c>
      <c r="J417" s="4" t="inlineStr"/>
    </row>
    <row r="418" ht="70" customHeight="1">
      <c r="A418" s="4" t="inlineStr">
        <is>
          <t>Spring</t>
        </is>
      </c>
      <c r="B418" s="4" t="inlineStr"/>
      <c r="C418" s="4" t="inlineStr">
        <is>
          <t>SPRING savon de beauté succès glycérine &amp; huile de carotte</t>
        </is>
      </c>
      <c r="D418" s="4" t="inlineStr">
        <is>
          <t>Savon</t>
        </is>
      </c>
      <c r="E418" s="4" t="inlineStr">
        <is>
          <t>Savon</t>
        </is>
      </c>
      <c r="F418" s="4" t="inlineStr">
        <is>
          <t>300 gr</t>
        </is>
      </c>
      <c r="G418" s="4">
        <f>IMAGE("https://raw.githubusercontent.com/leslita06/dreamcosmetics-maquette/main/photos/583.jpg")</f>
        <v/>
      </c>
      <c r="H418" s="4" t="inlineStr">
        <is>
          <t>http://dreamcosmetics.net/fr/product/hygi%C3%A8ne-et-bain/savon/spring-savon-de-beaut%C3%A9-succ%C3%A8s-glyc%C3%A9rine-huile-de-carotte</t>
        </is>
      </c>
      <c r="I418" s="4" t="inlineStr">
        <is>
          <t>Site Dream Cosmetics</t>
        </is>
      </c>
      <c r="J418" s="4" t="inlineStr"/>
    </row>
    <row r="419" ht="70" customHeight="1">
      <c r="A419" s="4" t="inlineStr">
        <is>
          <t>Spring</t>
        </is>
      </c>
      <c r="B419" s="4" t="inlineStr"/>
      <c r="C419" s="4" t="inlineStr">
        <is>
          <t>Spring savon de beauté succès glycérine &amp; huile de carotte</t>
        </is>
      </c>
      <c r="D419" s="4" t="inlineStr">
        <is>
          <t>Savon</t>
        </is>
      </c>
      <c r="E419" s="4" t="inlineStr">
        <is>
          <t>Savon</t>
        </is>
      </c>
      <c r="F419" s="4" t="inlineStr">
        <is>
          <t>4 x 100 gr</t>
        </is>
      </c>
      <c r="G419" s="4">
        <f>IMAGE("https://raw.githubusercontent.com/leslita06/dreamcosmetics-maquette/main/photos/589.jpg")</f>
        <v/>
      </c>
      <c r="H419" s="4" t="inlineStr">
        <is>
          <t>http://dreamcosmetics.net/fr/product/hygi%C3%A8ne-et-bain/savon/spring-savon-de-beaut%C3%A9-succ%C3%A8s-glyc%C3%A9rine-huile-de-carotte-0</t>
        </is>
      </c>
      <c r="I419" s="4" t="inlineStr">
        <is>
          <t>Site Dream Cosmetics</t>
        </is>
      </c>
      <c r="J419" s="4" t="inlineStr"/>
    </row>
    <row r="420" ht="70" customHeight="1">
      <c r="A420" s="4" t="inlineStr">
        <is>
          <t>Spring</t>
        </is>
      </c>
      <c r="B420" s="4" t="inlineStr"/>
      <c r="C420" s="4" t="inlineStr">
        <is>
          <t>Spring savon de beauté séduction glycérine</t>
        </is>
      </c>
      <c r="D420" s="4" t="inlineStr">
        <is>
          <t>Savon</t>
        </is>
      </c>
      <c r="E420" s="4" t="inlineStr">
        <is>
          <t>Savon</t>
        </is>
      </c>
      <c r="F420" s="4" t="inlineStr">
        <is>
          <t>300 gr</t>
        </is>
      </c>
      <c r="G420" s="4">
        <f>IMAGE("https://raw.githubusercontent.com/leslita06/dreamcosmetics-maquette/main/photos/581.jpg")</f>
        <v/>
      </c>
      <c r="H420" s="4" t="inlineStr">
        <is>
          <t>http://dreamcosmetics.net/fr/product/hygi%C3%A8ne-et-bain/savon/spring-savon-de-beaut%C3%A9-s%C3%A9duction-glyc%C3%A9rine</t>
        </is>
      </c>
      <c r="I420" s="4" t="inlineStr">
        <is>
          <t>Site Dream Cosmetics</t>
        </is>
      </c>
      <c r="J420" s="4" t="inlineStr"/>
    </row>
    <row r="421" ht="70" customHeight="1">
      <c r="A421" s="4" t="inlineStr">
        <is>
          <t>Spring</t>
        </is>
      </c>
      <c r="B421" s="4" t="inlineStr"/>
      <c r="C421" s="4" t="inlineStr">
        <is>
          <t>Spring savon de beauté séduction glycérine</t>
        </is>
      </c>
      <c r="D421" s="4" t="inlineStr">
        <is>
          <t>Savon</t>
        </is>
      </c>
      <c r="E421" s="4" t="inlineStr">
        <is>
          <t>Savon</t>
        </is>
      </c>
      <c r="F421" s="5" t="inlineStr">
        <is>
          <t>à confirmer</t>
        </is>
      </c>
      <c r="G421" s="4">
        <f>IMAGE("https://raw.githubusercontent.com/leslita06/dreamcosmetics-maquette/main/photos/587.jpg")</f>
        <v/>
      </c>
      <c r="H421" s="4" t="inlineStr">
        <is>
          <t>http://dreamcosmetics.net/fr/product/hygi%C3%A8ne-et-bain/savon/spring-savon-de-beaut%C3%A9-s%C3%A9duction-glyc%C3%A9rine-0</t>
        </is>
      </c>
      <c r="I421" s="4" t="inlineStr">
        <is>
          <t>Site Dream Cosmetics</t>
        </is>
      </c>
      <c r="J421" s="4" t="inlineStr"/>
    </row>
    <row r="422" ht="70" customHeight="1">
      <c r="A422" s="4" t="inlineStr">
        <is>
          <t>Spring</t>
        </is>
      </c>
      <c r="B422" s="4" t="inlineStr"/>
      <c r="C422" s="4" t="inlineStr">
        <is>
          <t>Spring savon de beauté sérénité glycérine</t>
        </is>
      </c>
      <c r="D422" s="4" t="inlineStr">
        <is>
          <t>Savon</t>
        </is>
      </c>
      <c r="E422" s="4" t="inlineStr">
        <is>
          <t>Savon</t>
        </is>
      </c>
      <c r="F422" s="4" t="inlineStr">
        <is>
          <t>300 gr</t>
        </is>
      </c>
      <c r="G422" s="4">
        <f>IMAGE("https://raw.githubusercontent.com/leslita06/dreamcosmetics-maquette/main/photos/582.jpg")</f>
        <v/>
      </c>
      <c r="H422" s="4" t="inlineStr">
        <is>
          <t>http://dreamcosmetics.net/fr/product/hygi%C3%A8ne-et-bain/savon/spring-savon-de-beaut%C3%A9-s%C3%A9r%C3%A9nit%C3%A9-glyc%C3%A9rine</t>
        </is>
      </c>
      <c r="I422" s="4" t="inlineStr">
        <is>
          <t>Site Dream Cosmetics</t>
        </is>
      </c>
      <c r="J422" s="4" t="inlineStr"/>
    </row>
    <row r="423" ht="70" customHeight="1">
      <c r="A423" s="4" t="inlineStr">
        <is>
          <t>Spring</t>
        </is>
      </c>
      <c r="B423" s="4" t="inlineStr"/>
      <c r="C423" s="4" t="inlineStr">
        <is>
          <t>Spring savon de beauté sérénité glycérine</t>
        </is>
      </c>
      <c r="D423" s="4" t="inlineStr">
        <is>
          <t>Savon</t>
        </is>
      </c>
      <c r="E423" s="4" t="inlineStr">
        <is>
          <t>Savon</t>
        </is>
      </c>
      <c r="F423" s="5" t="inlineStr">
        <is>
          <t>à confirmer</t>
        </is>
      </c>
      <c r="G423" s="4">
        <f>IMAGE("https://raw.githubusercontent.com/leslita06/dreamcosmetics-maquette/main/photos/586.jpg")</f>
        <v/>
      </c>
      <c r="H423" s="4" t="inlineStr">
        <is>
          <t>http://dreamcosmetics.net/fr/product/hygi%C3%A8ne-et-bain/savon/spring-savon-de-beaut%C3%A9-s%C3%A9r%C3%A9nit%C3%A9-glyc%C3%A9rine-0</t>
        </is>
      </c>
      <c r="I423" s="4" t="inlineStr">
        <is>
          <t>Site Dream Cosmetics</t>
        </is>
      </c>
      <c r="J423" s="4" t="inlineStr"/>
    </row>
    <row r="424" ht="70" customHeight="1">
      <c r="A424" s="4" t="inlineStr">
        <is>
          <t>Spring</t>
        </is>
      </c>
      <c r="B424" s="4" t="inlineStr"/>
      <c r="C424" s="4" t="inlineStr">
        <is>
          <t>Spring savon mains antibactérien glycérine</t>
        </is>
      </c>
      <c r="D424" s="4" t="inlineStr">
        <is>
          <t>Savon</t>
        </is>
      </c>
      <c r="E424" s="4" t="inlineStr">
        <is>
          <t>Savon</t>
        </is>
      </c>
      <c r="F424" s="5" t="inlineStr">
        <is>
          <t>à confirmer</t>
        </is>
      </c>
      <c r="G424" s="4">
        <f>IMAGE("https://raw.githubusercontent.com/leslita06/dreamcosmetics-maquette/main/photos/590.jpg")</f>
        <v/>
      </c>
      <c r="H424" s="4" t="inlineStr">
        <is>
          <t>http://dreamcosmetics.net/fr/product/hygi%C3%A8ne-et-bain/savon/spring-savon-mains-antibact%C3%A9rien-glyc%C3%A9rine</t>
        </is>
      </c>
      <c r="I424" s="4" t="inlineStr">
        <is>
          <t>Site Dream Cosmetics</t>
        </is>
      </c>
      <c r="J424" s="4" t="inlineStr"/>
    </row>
    <row r="425" ht="70" customHeight="1">
      <c r="A425" s="4" t="inlineStr">
        <is>
          <t>Spring</t>
        </is>
      </c>
      <c r="B425" s="4" t="inlineStr"/>
      <c r="C425" s="4" t="inlineStr">
        <is>
          <t>Spring savon mains antibactérien glycérine &amp; citron</t>
        </is>
      </c>
      <c r="D425" s="4" t="inlineStr">
        <is>
          <t>Savon</t>
        </is>
      </c>
      <c r="E425" s="4" t="inlineStr">
        <is>
          <t>Savon</t>
        </is>
      </c>
      <c r="F425" s="5" t="inlineStr">
        <is>
          <t>à confirmer</t>
        </is>
      </c>
      <c r="G425" s="4">
        <f>IMAGE("https://raw.githubusercontent.com/leslita06/dreamcosmetics-maquette/main/photos/591.jpg")</f>
        <v/>
      </c>
      <c r="H425" s="4" t="inlineStr">
        <is>
          <t>http://dreamcosmetics.net/fr/product/hygi%C3%A8ne-et-bain/savon/spring-savon-mains-antibact%C3%A9rien-glyc%C3%A9rine-citron</t>
        </is>
      </c>
      <c r="I425" s="4" t="inlineStr">
        <is>
          <t>Site Dream Cosmetics</t>
        </is>
      </c>
      <c r="J425" s="4" t="inlineStr"/>
    </row>
    <row r="426" ht="70" customHeight="1">
      <c r="A426" s="4" t="inlineStr">
        <is>
          <t>Spring</t>
        </is>
      </c>
      <c r="B426" s="4" t="inlineStr"/>
      <c r="C426" s="4" t="inlineStr">
        <is>
          <t>Spring savon mains harmonie</t>
        </is>
      </c>
      <c r="D426" s="4" t="inlineStr">
        <is>
          <t>Savon</t>
        </is>
      </c>
      <c r="E426" s="4" t="inlineStr">
        <is>
          <t>Savon</t>
        </is>
      </c>
      <c r="F426" s="4" t="inlineStr">
        <is>
          <t>300 g</t>
        </is>
      </c>
      <c r="G426" s="4">
        <f>IMAGE("https://raw.githubusercontent.com/leslita06/dreamcosmetics-maquette/main/photos/497.jpg")</f>
        <v/>
      </c>
      <c r="H426" s="4" t="inlineStr">
        <is>
          <t>http://dreamcosmetics.net/fr/product/hygi%C3%A8ne-et-bain/savon/spring-savon-mains-harmonie</t>
        </is>
      </c>
      <c r="I426" s="4" t="inlineStr">
        <is>
          <t>Site Dream Cosmetics</t>
        </is>
      </c>
      <c r="J426" s="4" t="inlineStr"/>
    </row>
    <row r="427" ht="70" customHeight="1">
      <c r="A427" s="4" t="inlineStr">
        <is>
          <t>Spring</t>
        </is>
      </c>
      <c r="B427" s="4" t="inlineStr"/>
      <c r="C427" s="4" t="inlineStr">
        <is>
          <t>Spring savon mains succès huile de carotte</t>
        </is>
      </c>
      <c r="D427" s="4" t="inlineStr">
        <is>
          <t>Savon</t>
        </is>
      </c>
      <c r="E427" s="4" t="inlineStr">
        <is>
          <t>Savon</t>
        </is>
      </c>
      <c r="F427" s="5" t="inlineStr">
        <is>
          <t>à confirmer</t>
        </is>
      </c>
      <c r="G427" s="4">
        <f>IMAGE("https://raw.githubusercontent.com/leslita06/dreamcosmetics-maquette/main/photos/498.jpg")</f>
        <v/>
      </c>
      <c r="H427" s="4" t="inlineStr">
        <is>
          <t>http://dreamcosmetics.net/fr/product/hygi%C3%A8ne-et-bain/savon/spring-savon-mains-succ%C3%A8s-huile-de-carotte</t>
        </is>
      </c>
      <c r="I427" s="4" t="inlineStr">
        <is>
          <t>Site Dream Cosmetics</t>
        </is>
      </c>
      <c r="J427" s="4" t="inlineStr"/>
    </row>
    <row r="428" ht="70" customHeight="1">
      <c r="A428" s="4" t="inlineStr">
        <is>
          <t>Spring</t>
        </is>
      </c>
      <c r="B428" s="4" t="inlineStr"/>
      <c r="C428" s="4" t="inlineStr">
        <is>
          <t>Spring savon mains séduction</t>
        </is>
      </c>
      <c r="D428" s="4" t="inlineStr">
        <is>
          <t>Savon</t>
        </is>
      </c>
      <c r="E428" s="4" t="inlineStr">
        <is>
          <t>Savon</t>
        </is>
      </c>
      <c r="F428" s="4" t="inlineStr">
        <is>
          <t>300 g</t>
        </is>
      </c>
      <c r="G428" s="4">
        <f>IMAGE("https://raw.githubusercontent.com/leslita06/dreamcosmetics-maquette/main/photos/495.jpg")</f>
        <v/>
      </c>
      <c r="H428" s="4" t="inlineStr">
        <is>
          <t>http://dreamcosmetics.net/fr/product/hygi%C3%A8ne-et-bain/savon/spring-savon-mains-s%C3%A9duction</t>
        </is>
      </c>
      <c r="I428" s="4" t="inlineStr">
        <is>
          <t>Site Dream Cosmetics</t>
        </is>
      </c>
      <c r="J428" s="4" t="inlineStr"/>
    </row>
    <row r="429" ht="70" customHeight="1">
      <c r="A429" s="4" t="inlineStr">
        <is>
          <t>Spring</t>
        </is>
      </c>
      <c r="B429" s="4" t="inlineStr"/>
      <c r="C429" s="4" t="inlineStr">
        <is>
          <t>Spring savon mains sérénité</t>
        </is>
      </c>
      <c r="D429" s="4" t="inlineStr">
        <is>
          <t>Savon</t>
        </is>
      </c>
      <c r="E429" s="4" t="inlineStr">
        <is>
          <t>Savon</t>
        </is>
      </c>
      <c r="F429" s="4" t="inlineStr">
        <is>
          <t>300 g</t>
        </is>
      </c>
      <c r="G429" s="4">
        <f>IMAGE("https://raw.githubusercontent.com/leslita06/dreamcosmetics-maquette/main/photos/496.jpg")</f>
        <v/>
      </c>
      <c r="H429" s="4" t="inlineStr">
        <is>
          <t>http://dreamcosmetics.net/fr/product/hygi%C3%A8ne-et-bain/savon/spring-savon-mains-s%C3%A9r%C3%A9nit%C3%A9</t>
        </is>
      </c>
      <c r="I429" s="4" t="inlineStr">
        <is>
          <t>Site Dream Cosmetics</t>
        </is>
      </c>
      <c r="J429" s="4" t="inlineStr"/>
    </row>
    <row r="430" ht="70" customHeight="1">
      <c r="A430" s="4" t="inlineStr">
        <is>
          <t>Stars</t>
        </is>
      </c>
      <c r="B430" s="4" t="inlineStr"/>
      <c r="C430" s="4" t="inlineStr">
        <is>
          <t>Stars - EDP Blue</t>
        </is>
      </c>
      <c r="D430" s="4" t="inlineStr">
        <is>
          <t>Parfum</t>
        </is>
      </c>
      <c r="E430" s="4" t="inlineStr">
        <is>
          <t>Eau de parfum</t>
        </is>
      </c>
      <c r="F430" s="4" t="inlineStr">
        <is>
          <t>90 ml</t>
        </is>
      </c>
      <c r="G430" s="4">
        <f>IMAGE("https://raw.githubusercontent.com/leslita06/dreamcosmetics-maquette/main/photos/348.jpg")</f>
        <v/>
      </c>
      <c r="H430" s="4" t="inlineStr">
        <is>
          <t>http://dreamcosmetics.net/fr/product/parfums/eau-de-parfum/stars-edp-blue</t>
        </is>
      </c>
      <c r="I430" s="4" t="inlineStr">
        <is>
          <t>Site Dream Cosmetics</t>
        </is>
      </c>
      <c r="J430" s="4" t="inlineStr"/>
    </row>
    <row r="431" ht="70" customHeight="1">
      <c r="A431" s="4" t="inlineStr">
        <is>
          <t>Stars</t>
        </is>
      </c>
      <c r="B431" s="4" t="inlineStr"/>
      <c r="C431" s="4" t="inlineStr">
        <is>
          <t>Stars - EDP Gold</t>
        </is>
      </c>
      <c r="D431" s="4" t="inlineStr">
        <is>
          <t>Parfum</t>
        </is>
      </c>
      <c r="E431" s="4" t="inlineStr">
        <is>
          <t>Eau de parfum</t>
        </is>
      </c>
      <c r="F431" s="4" t="inlineStr">
        <is>
          <t>90 ml</t>
        </is>
      </c>
      <c r="G431" s="4">
        <f>IMAGE("https://raw.githubusercontent.com/leslita06/dreamcosmetics-maquette/main/photos/351.jpg")</f>
        <v/>
      </c>
      <c r="H431" s="4" t="inlineStr">
        <is>
          <t>http://dreamcosmetics.net/fr/product/parfums/eau-de-parfum/stars-edp-gold</t>
        </is>
      </c>
      <c r="I431" s="4" t="inlineStr">
        <is>
          <t>Site Dream Cosmetics</t>
        </is>
      </c>
      <c r="J431" s="4" t="inlineStr"/>
    </row>
    <row r="432" ht="70" customHeight="1">
      <c r="A432" s="4" t="inlineStr">
        <is>
          <t>Stars</t>
        </is>
      </c>
      <c r="B432" s="4" t="inlineStr"/>
      <c r="C432" s="4" t="inlineStr">
        <is>
          <t>Stars - EDP Pink</t>
        </is>
      </c>
      <c r="D432" s="4" t="inlineStr">
        <is>
          <t>Parfum</t>
        </is>
      </c>
      <c r="E432" s="4" t="inlineStr">
        <is>
          <t>Eau de parfum</t>
        </is>
      </c>
      <c r="F432" s="4" t="inlineStr">
        <is>
          <t>90 ml</t>
        </is>
      </c>
      <c r="G432" s="4">
        <f>IMAGE("https://raw.githubusercontent.com/leslita06/dreamcosmetics-maquette/main/photos/352.jpg")</f>
        <v/>
      </c>
      <c r="H432" s="4" t="inlineStr">
        <is>
          <t>http://dreamcosmetics.net/fr/product/parfums/eau-de-parfum/stars-edp-pink</t>
        </is>
      </c>
      <c r="I432" s="4" t="inlineStr">
        <is>
          <t>Site Dream Cosmetics</t>
        </is>
      </c>
      <c r="J432" s="4" t="inlineStr"/>
    </row>
    <row r="433" ht="70" customHeight="1">
      <c r="A433" s="4" t="inlineStr">
        <is>
          <t>Stars</t>
        </is>
      </c>
      <c r="B433" s="4" t="inlineStr"/>
      <c r="C433" s="4" t="inlineStr">
        <is>
          <t>Stars - EDP Purple</t>
        </is>
      </c>
      <c r="D433" s="4" t="inlineStr">
        <is>
          <t>Parfum</t>
        </is>
      </c>
      <c r="E433" s="4" t="inlineStr">
        <is>
          <t>Eau de parfum</t>
        </is>
      </c>
      <c r="F433" s="4" t="inlineStr">
        <is>
          <t>90 ml</t>
        </is>
      </c>
      <c r="G433" s="4">
        <f>IMAGE("https://raw.githubusercontent.com/leslita06/dreamcosmetics-maquette/main/photos/353.jpg")</f>
        <v/>
      </c>
      <c r="H433" s="4" t="inlineStr">
        <is>
          <t>http://dreamcosmetics.net/fr/product/parfums/eau-de-parfum/stars-edp-purple</t>
        </is>
      </c>
      <c r="I433" s="4" t="inlineStr">
        <is>
          <t>Site Dream Cosmetics</t>
        </is>
      </c>
      <c r="J433" s="4" t="inlineStr"/>
    </row>
    <row r="434" ht="70" customHeight="1">
      <c r="A434" s="4" t="inlineStr">
        <is>
          <t>Stars</t>
        </is>
      </c>
      <c r="B434" s="4" t="inlineStr"/>
      <c r="C434" s="4" t="inlineStr">
        <is>
          <t>Stars - EDP Silver</t>
        </is>
      </c>
      <c r="D434" s="4" t="inlineStr">
        <is>
          <t>Parfum</t>
        </is>
      </c>
      <c r="E434" s="4" t="inlineStr">
        <is>
          <t>Eau de parfum</t>
        </is>
      </c>
      <c r="F434" s="4" t="inlineStr">
        <is>
          <t>90 ml</t>
        </is>
      </c>
      <c r="G434" s="4">
        <f>IMAGE("https://raw.githubusercontent.com/leslita06/dreamcosmetics-maquette/main/photos/354.jpg")</f>
        <v/>
      </c>
      <c r="H434" s="4" t="inlineStr">
        <is>
          <t>http://dreamcosmetics.net/fr/product/parfum/eau-de-parfum/stars-edp-silver</t>
        </is>
      </c>
      <c r="I434" s="4" t="inlineStr">
        <is>
          <t>Site Dream Cosmetics</t>
        </is>
      </c>
      <c r="J434" s="4" t="inlineStr"/>
    </row>
    <row r="435" ht="70" customHeight="1">
      <c r="A435" s="4" t="inlineStr">
        <is>
          <t>Stars</t>
        </is>
      </c>
      <c r="B435" s="4" t="inlineStr"/>
      <c r="C435" s="4" t="inlineStr">
        <is>
          <t>Stars EDP Black</t>
        </is>
      </c>
      <c r="D435" s="4" t="inlineStr">
        <is>
          <t>Parfum</t>
        </is>
      </c>
      <c r="E435" s="4" t="inlineStr">
        <is>
          <t>Eau de parfum</t>
        </is>
      </c>
      <c r="F435" s="4" t="inlineStr">
        <is>
          <t>90 ml</t>
        </is>
      </c>
      <c r="G435" s="4">
        <f>IMAGE("https://raw.githubusercontent.com/leslita06/dreamcosmetics-maquette/main/photos/349.jpg")</f>
        <v/>
      </c>
      <c r="H435" s="4" t="inlineStr">
        <is>
          <t>http://dreamcosmetics.net/fr/product/parfums/eau-de-parfum/stars-edp-black</t>
        </is>
      </c>
      <c r="I435" s="4" t="inlineStr">
        <is>
          <t>Site Dream Cosmetics</t>
        </is>
      </c>
      <c r="J435" s="4" t="inlineStr"/>
    </row>
    <row r="436" ht="70" customHeight="1">
      <c r="A436" s="4" t="inlineStr">
        <is>
          <t>Vip</t>
        </is>
      </c>
      <c r="B436" s="4" t="inlineStr"/>
      <c r="C436" s="4" t="inlineStr">
        <is>
          <t>VIP Black Eau de cologne</t>
        </is>
      </c>
      <c r="D436" s="4" t="inlineStr">
        <is>
          <t>Parfum</t>
        </is>
      </c>
      <c r="E436" s="4" t="inlineStr">
        <is>
          <t>Eau de cologne</t>
        </is>
      </c>
      <c r="F436" s="4" t="inlineStr">
        <is>
          <t>200 - 1000 ml</t>
        </is>
      </c>
      <c r="G436" s="4">
        <f>IMAGE("https://raw.githubusercontent.com/leslita06/dreamcosmetics-maquette/main/photos/136.jpg")</f>
        <v/>
      </c>
      <c r="H436" s="4" t="inlineStr">
        <is>
          <t>http://dreamcosmetics.net/fr/product/parfum/eau-de-cologne/vip-black-eau-de-cologne</t>
        </is>
      </c>
      <c r="I436" s="4" t="inlineStr">
        <is>
          <t>Site Dream Cosmetics</t>
        </is>
      </c>
      <c r="J436" s="4" t="inlineStr"/>
    </row>
    <row r="437" ht="70" customHeight="1">
      <c r="A437" s="4" t="inlineStr">
        <is>
          <t>Vip</t>
        </is>
      </c>
      <c r="B437" s="4" t="inlineStr"/>
      <c r="C437" s="4" t="inlineStr">
        <is>
          <t>VIP Black Savon</t>
        </is>
      </c>
      <c r="D437" s="4" t="inlineStr">
        <is>
          <t>Parfum</t>
        </is>
      </c>
      <c r="E437" s="4" t="inlineStr">
        <is>
          <t>Savon</t>
        </is>
      </c>
      <c r="F437" s="4" t="inlineStr">
        <is>
          <t>150 gr</t>
        </is>
      </c>
      <c r="G437" s="4">
        <f>IMAGE("https://raw.githubusercontent.com/leslita06/dreamcosmetics-maquette/main/photos/135.jpg")</f>
        <v/>
      </c>
      <c r="H437" s="4" t="inlineStr">
        <is>
          <t>http://dreamcosmetics.net/fr/product/parfum/savon/vip-black-savon</t>
        </is>
      </c>
      <c r="I437" s="4" t="inlineStr">
        <is>
          <t>Site Dream Cosmetics</t>
        </is>
      </c>
      <c r="J437" s="4" t="inlineStr"/>
    </row>
    <row r="438" ht="70" customHeight="1">
      <c r="A438" s="4" t="inlineStr">
        <is>
          <t>Vip</t>
        </is>
      </c>
      <c r="B438" s="4" t="inlineStr"/>
      <c r="C438" s="4" t="inlineStr">
        <is>
          <t>VIP black talc déodorant</t>
        </is>
      </c>
      <c r="D438" s="4" t="inlineStr">
        <is>
          <t>Parfum</t>
        </is>
      </c>
      <c r="E438" s="4" t="inlineStr">
        <is>
          <t>Déodorant</t>
        </is>
      </c>
      <c r="F438" s="4" t="inlineStr">
        <is>
          <t>50 g</t>
        </is>
      </c>
      <c r="G438" s="4">
        <f>IMAGE("https://raw.githubusercontent.com/leslita06/dreamcosmetics-maquette/main/photos/144.jpg")</f>
        <v/>
      </c>
      <c r="H438" s="4" t="inlineStr">
        <is>
          <t>http://dreamcosmetics.net/fr/product/homme/d%C3%A9odorant/vip-black-talc-d%C3%A9odorant</t>
        </is>
      </c>
      <c r="I438" s="4" t="inlineStr">
        <is>
          <t>Site Dream Cosmetics</t>
        </is>
      </c>
      <c r="J438" s="4" t="inlineStr"/>
    </row>
    <row r="439" ht="70" customHeight="1">
      <c r="A439" s="4" t="inlineStr">
        <is>
          <t>Vip</t>
        </is>
      </c>
      <c r="B439" s="4" t="inlineStr"/>
      <c r="C439" s="4" t="inlineStr">
        <is>
          <t>VIP Coffret VIP</t>
        </is>
      </c>
      <c r="D439" s="4" t="inlineStr">
        <is>
          <t>Parfum</t>
        </is>
      </c>
      <c r="E439" s="4" t="inlineStr">
        <is>
          <t>Coffret</t>
        </is>
      </c>
      <c r="F439" s="4" t="inlineStr">
        <is>
          <t>150 gr</t>
        </is>
      </c>
      <c r="G439" s="4">
        <f>IMAGE("https://raw.githubusercontent.com/leslita06/dreamcosmetics-maquette/main/photos/341.jpg")</f>
        <v/>
      </c>
      <c r="H439" s="4" t="inlineStr">
        <is>
          <t>http://dreamcosmetics.net/fr/product/parfum/coffret/vip-coffret-vip</t>
        </is>
      </c>
      <c r="I439" s="4" t="inlineStr">
        <is>
          <t>Site Dream Cosmetics</t>
        </is>
      </c>
      <c r="J439" s="4" t="inlineStr"/>
    </row>
    <row r="440" ht="70" customHeight="1">
      <c r="A440" s="4" t="inlineStr">
        <is>
          <t>Vip</t>
        </is>
      </c>
      <c r="B440" s="4" t="inlineStr"/>
      <c r="C440" s="4" t="inlineStr">
        <is>
          <t>VIP déodorant parfumé roll on</t>
        </is>
      </c>
      <c r="D440" s="4" t="inlineStr">
        <is>
          <t>Parfum</t>
        </is>
      </c>
      <c r="E440" s="4" t="inlineStr">
        <is>
          <t>Déodorant</t>
        </is>
      </c>
      <c r="F440" s="5" t="inlineStr">
        <is>
          <t>à confirmer</t>
        </is>
      </c>
      <c r="G440" s="4">
        <f>IMAGE("https://raw.githubusercontent.com/leslita06/dreamcosmetics-maquette/main/photos/425.jpg")</f>
        <v/>
      </c>
      <c r="H440" s="4" t="inlineStr">
        <is>
          <t>http://dreamcosmetics.net/fr/product/parfum/d%C3%A9odorant/vip-d%C3%A9odorant-parfum%C3%A9-roll</t>
        </is>
      </c>
      <c r="I440" s="4" t="inlineStr">
        <is>
          <t>Site Dream Cosmetics</t>
        </is>
      </c>
      <c r="J440" s="4" t="inlineStr"/>
    </row>
    <row r="441" ht="70" customHeight="1">
      <c r="A441" s="4" t="inlineStr">
        <is>
          <t>Vip</t>
        </is>
      </c>
      <c r="B441" s="4" t="inlineStr"/>
      <c r="C441" s="4" t="inlineStr">
        <is>
          <t>VIP déodorant spray parfumé</t>
        </is>
      </c>
      <c r="D441" s="4" t="inlineStr">
        <is>
          <t>Parfum</t>
        </is>
      </c>
      <c r="E441" s="4" t="inlineStr">
        <is>
          <t>Déodorant</t>
        </is>
      </c>
      <c r="F441" s="5" t="inlineStr">
        <is>
          <t>à confirmer</t>
        </is>
      </c>
      <c r="G441" s="4">
        <f>IMAGE("https://raw.githubusercontent.com/leslita06/dreamcosmetics-maquette/main/photos/564.jpg")</f>
        <v/>
      </c>
      <c r="H441" s="4" t="inlineStr">
        <is>
          <t>http://dreamcosmetics.net/fr/product/parfum/d%C3%A9odorant/vip-d%C3%A9odorant-spray-parfum%C3%A9</t>
        </is>
      </c>
      <c r="I441" s="4" t="inlineStr">
        <is>
          <t>Site Dream Cosmetics</t>
        </is>
      </c>
      <c r="J441" s="4" t="inlineStr"/>
    </row>
    <row r="442" ht="70" customHeight="1">
      <c r="A442" s="4" t="inlineStr">
        <is>
          <t>Vip</t>
        </is>
      </c>
      <c r="B442" s="4" t="inlineStr"/>
      <c r="C442" s="4" t="inlineStr">
        <is>
          <t>VIP Eau de Parfum Black</t>
        </is>
      </c>
      <c r="D442" s="4" t="inlineStr">
        <is>
          <t>Parfum</t>
        </is>
      </c>
      <c r="E442" s="4" t="inlineStr">
        <is>
          <t>Eau de parfum</t>
        </is>
      </c>
      <c r="F442" s="4" t="inlineStr">
        <is>
          <t>50 - 100 ml</t>
        </is>
      </c>
      <c r="G442" s="4">
        <f>IMAGE("https://raw.githubusercontent.com/leslita06/dreamcosmetics-maquette/main/photos/137.jpg")</f>
        <v/>
      </c>
      <c r="H442" s="4" t="inlineStr">
        <is>
          <t>http://dreamcosmetics.net/fr/product/parfum/eau-de-parfum/vip-eau-de-parfum-black</t>
        </is>
      </c>
      <c r="I442" s="4" t="inlineStr">
        <is>
          <t>Site Dream Cosmetics</t>
        </is>
      </c>
      <c r="J442" s="4" t="inlineStr"/>
    </row>
    <row r="443" ht="70" customHeight="1">
      <c r="A443" s="4" t="inlineStr">
        <is>
          <t>Vip</t>
        </is>
      </c>
      <c r="B443" s="4" t="inlineStr"/>
      <c r="C443" s="4" t="inlineStr">
        <is>
          <t>VIP Eau de parfum Blue</t>
        </is>
      </c>
      <c r="D443" s="4" t="inlineStr">
        <is>
          <t>Parfum</t>
        </is>
      </c>
      <c r="E443" s="4" t="inlineStr">
        <is>
          <t>Eau de parfum</t>
        </is>
      </c>
      <c r="F443" s="4" t="inlineStr">
        <is>
          <t>50 ml</t>
        </is>
      </c>
      <c r="G443" s="4">
        <f>IMAGE("https://raw.githubusercontent.com/leslita06/dreamcosmetics-maquette/main/photos/138.jpg")</f>
        <v/>
      </c>
      <c r="H443" s="4" t="inlineStr">
        <is>
          <t>http://dreamcosmetics.net/fr/product/parfums/eau-de-parfum/vip-eau-de-parfum-blue</t>
        </is>
      </c>
      <c r="I443" s="4" t="inlineStr">
        <is>
          <t>Site Dream Cosmetics</t>
        </is>
      </c>
      <c r="J443" s="4" t="inlineStr"/>
    </row>
    <row r="444" ht="70" customHeight="1">
      <c r="A444" s="4" t="inlineStr">
        <is>
          <t>Vip</t>
        </is>
      </c>
      <c r="B444" s="4" t="inlineStr"/>
      <c r="C444" s="4" t="inlineStr">
        <is>
          <t>VIP Eau de parfum Gold</t>
        </is>
      </c>
      <c r="D444" s="4" t="inlineStr">
        <is>
          <t>Parfum</t>
        </is>
      </c>
      <c r="E444" s="4" t="inlineStr">
        <is>
          <t>Eau de parfum</t>
        </is>
      </c>
      <c r="F444" s="4" t="inlineStr">
        <is>
          <t>50 ml</t>
        </is>
      </c>
      <c r="G444" s="4">
        <f>IMAGE("https://raw.githubusercontent.com/leslita06/dreamcosmetics-maquette/main/photos/139.jpg")</f>
        <v/>
      </c>
      <c r="H444" s="4" t="inlineStr">
        <is>
          <t>http://dreamcosmetics.net/fr/product/parfum/eau-de-parfum/vip-eau-de-parfum-gold</t>
        </is>
      </c>
      <c r="I444" s="4" t="inlineStr">
        <is>
          <t>Site Dream Cosmetics</t>
        </is>
      </c>
      <c r="J444" s="4" t="inlineStr"/>
    </row>
    <row r="445" ht="70" customHeight="1">
      <c r="A445" s="4" t="inlineStr">
        <is>
          <t>Vip</t>
        </is>
      </c>
      <c r="B445" s="4" t="inlineStr"/>
      <c r="C445" s="4" t="inlineStr">
        <is>
          <t>VIP Eau de parfum Green</t>
        </is>
      </c>
      <c r="D445" s="4" t="inlineStr">
        <is>
          <t>Parfum</t>
        </is>
      </c>
      <c r="E445" s="4" t="inlineStr">
        <is>
          <t>Eau de parfum</t>
        </is>
      </c>
      <c r="F445" s="4" t="inlineStr">
        <is>
          <t>50 ml</t>
        </is>
      </c>
      <c r="G445" s="4">
        <f>IMAGE("https://raw.githubusercontent.com/leslita06/dreamcosmetics-maquette/main/photos/140.jpg")</f>
        <v/>
      </c>
      <c r="H445" s="4" t="inlineStr">
        <is>
          <t>http://dreamcosmetics.net/fr/product/parfums/eau-de-parfum/vip-eau-de-parfum-green</t>
        </is>
      </c>
      <c r="I445" s="4" t="inlineStr">
        <is>
          <t>Site Dream Cosmetics</t>
        </is>
      </c>
      <c r="J445" s="4" t="inlineStr"/>
    </row>
    <row r="446" ht="70" customHeight="1">
      <c r="A446" s="4" t="inlineStr">
        <is>
          <t>Vip</t>
        </is>
      </c>
      <c r="B446" s="4" t="inlineStr"/>
      <c r="C446" s="4" t="inlineStr">
        <is>
          <t>VIP Eau de parfum Grey</t>
        </is>
      </c>
      <c r="D446" s="4" t="inlineStr">
        <is>
          <t>Parfum</t>
        </is>
      </c>
      <c r="E446" s="4" t="inlineStr">
        <is>
          <t>Eau de parfum</t>
        </is>
      </c>
      <c r="F446" s="4" t="inlineStr">
        <is>
          <t>50 ml</t>
        </is>
      </c>
      <c r="G446" s="4">
        <f>IMAGE("https://raw.githubusercontent.com/leslita06/dreamcosmetics-maquette/main/photos/141.jpg")</f>
        <v/>
      </c>
      <c r="H446" s="4" t="inlineStr">
        <is>
          <t>http://dreamcosmetics.net/fr/product/parfums/eau-de-parfum/vip-eau-de-parfum-grey</t>
        </is>
      </c>
      <c r="I446" s="4" t="inlineStr">
        <is>
          <t>Site Dream Cosmetics</t>
        </is>
      </c>
      <c r="J446" s="4" t="inlineStr"/>
    </row>
    <row r="447" ht="70" customHeight="1">
      <c r="A447" s="4" t="inlineStr">
        <is>
          <t>Vip</t>
        </is>
      </c>
      <c r="B447" s="4" t="inlineStr"/>
      <c r="C447" s="4" t="inlineStr">
        <is>
          <t>VIP gel douche parfumé</t>
        </is>
      </c>
      <c r="D447" s="4" t="inlineStr">
        <is>
          <t>Parfum</t>
        </is>
      </c>
      <c r="E447" s="4" t="inlineStr">
        <is>
          <t>Gel douche</t>
        </is>
      </c>
      <c r="F447" s="4" t="inlineStr">
        <is>
          <t>125 - 500 - 1000 ml</t>
        </is>
      </c>
      <c r="G447" s="4">
        <f>IMAGE("https://raw.githubusercontent.com/leslita06/dreamcosmetics-maquette/main/photos/142.jpg")</f>
        <v/>
      </c>
      <c r="H447" s="4" t="inlineStr">
        <is>
          <t>http://dreamcosmetics.net/fr/product/homme/gel-douche/vip-gel-douche-parfum%C3%A9</t>
        </is>
      </c>
      <c r="I447" s="4" t="inlineStr">
        <is>
          <t>Site Dream Cosmetics</t>
        </is>
      </c>
      <c r="J447" s="4" t="inlineStr"/>
    </row>
    <row r="448" ht="70" customHeight="1">
      <c r="A448" s="4" t="inlineStr">
        <is>
          <t>Vip</t>
        </is>
      </c>
      <c r="B448" s="4" t="inlineStr"/>
      <c r="C448" s="4" t="inlineStr">
        <is>
          <t>VIP Intense Black</t>
        </is>
      </c>
      <c r="D448" s="4" t="inlineStr">
        <is>
          <t>Parfum</t>
        </is>
      </c>
      <c r="E448" s="4" t="inlineStr">
        <is>
          <t>Eau de parfum</t>
        </is>
      </c>
      <c r="F448" s="4" t="inlineStr">
        <is>
          <t>50 ml</t>
        </is>
      </c>
      <c r="G448" s="4">
        <f>IMAGE("https://raw.githubusercontent.com/leslita06/dreamcosmetics-maquette/main/photos/143.jpg")</f>
        <v/>
      </c>
      <c r="H448" s="4" t="inlineStr">
        <is>
          <t>http://dreamcosmetics.net/fr/product/parfum/eau-de-parfum/vip-intense-black</t>
        </is>
      </c>
      <c r="I448" s="4" t="inlineStr">
        <is>
          <t>Site Dream Cosmetics</t>
        </is>
      </c>
      <c r="J448" s="4" t="inlineStr"/>
    </row>
    <row r="449" ht="70" customHeight="1">
      <c r="A449" s="4" t="inlineStr">
        <is>
          <t>Carowhite</t>
        </is>
      </c>
      <c r="B449" s="4" t="inlineStr"/>
      <c r="C449" s="4" t="inlineStr">
        <is>
          <t>Caro White Savon de beauté clarifiant</t>
        </is>
      </c>
      <c r="D449" s="4" t="inlineStr">
        <is>
          <t>Savon</t>
        </is>
      </c>
      <c r="E449" s="5" t="inlineStr">
        <is>
          <t>à confirmer</t>
        </is>
      </c>
      <c r="F449" s="4" t="inlineStr">
        <is>
          <t>180 g</t>
        </is>
      </c>
      <c r="G449" s="4">
        <f>IMAGE("https://www.ladyedna.com/4097-large_default/caro-white-savon-de-beaute-clarifiant.jpg")</f>
        <v/>
      </c>
      <c r="H449" s="4" t="inlineStr">
        <is>
          <t>https://www.ladyedna.com/fr/gel-douche-et-savon/1026-caro-white-savon-de-beaute-clarifiant.html</t>
        </is>
      </c>
      <c r="I449" s="4" t="inlineStr">
        <is>
          <t>Lady Edna (revendeur)</t>
        </is>
      </c>
      <c r="J449" s="4" t="inlineStr">
        <is>
          <t>Gamme éclaircissante : à ne pas mettre en avant</t>
        </is>
      </c>
    </row>
    <row r="450" ht="70" customHeight="1">
      <c r="A450" s="4" t="inlineStr">
        <is>
          <t>Perfect white</t>
        </is>
      </c>
      <c r="B450" s="4" t="inlineStr"/>
      <c r="C450" s="4" t="inlineStr">
        <is>
          <t>Perfectwhite gel douche clarifiant</t>
        </is>
      </c>
      <c r="D450" s="4" t="inlineStr">
        <is>
          <t>Corps (douche)</t>
        </is>
      </c>
      <c r="E450" s="5" t="inlineStr">
        <is>
          <t>à confirmer</t>
        </is>
      </c>
      <c r="F450" s="4" t="inlineStr">
        <is>
          <t>1 l</t>
        </is>
      </c>
      <c r="G450" s="4">
        <f>IMAGE("https://www.ladyedna.com/4697-large_default/perfectwhite-gel-douche-clarifiant.jpg")</f>
        <v/>
      </c>
      <c r="H450" s="4" t="inlineStr">
        <is>
          <t>https://www.ladyedna.com/fr/gel-douche-et-savon/1104-perfectwhite-gel-douche-clarifiant.html</t>
        </is>
      </c>
      <c r="I450" s="4" t="inlineStr">
        <is>
          <t>Lady Edna (revendeur)</t>
        </is>
      </c>
      <c r="J450" s="4" t="inlineStr">
        <is>
          <t>Gamme éclaircissante : à ne pas mettre en avant</t>
        </is>
      </c>
    </row>
    <row r="451" ht="70" customHeight="1">
      <c r="A451" s="4" t="inlineStr">
        <is>
          <t>Carowhite</t>
        </is>
      </c>
      <c r="B451" s="4" t="inlineStr"/>
      <c r="C451" s="4" t="inlineStr">
        <is>
          <t>Caro White gel douche clarifiant</t>
        </is>
      </c>
      <c r="D451" s="4" t="inlineStr">
        <is>
          <t>Corps (douche)</t>
        </is>
      </c>
      <c r="E451" s="5" t="inlineStr">
        <is>
          <t>à confirmer</t>
        </is>
      </c>
      <c r="F451" s="4" t="inlineStr">
        <is>
          <t>1000 ml</t>
        </is>
      </c>
      <c r="G451" s="4">
        <f>IMAGE("https://www.ladyedna.com/4698-large_default/caro-white-gel-douche-clarifiant.jpg")</f>
        <v/>
      </c>
      <c r="H451" s="4" t="inlineStr">
        <is>
          <t>https://www.ladyedna.com/fr/gel-douche-et-savon/1105-caro-white-gel-douche-clarifiant.html</t>
        </is>
      </c>
      <c r="I451" s="4" t="inlineStr">
        <is>
          <t>Lady Edna (revendeur)</t>
        </is>
      </c>
      <c r="J451" s="4" t="inlineStr">
        <is>
          <t>Gamme éclaircissante : à ne pas mettre en avant</t>
        </is>
      </c>
    </row>
    <row r="452" ht="70" customHeight="1">
      <c r="A452" s="4" t="inlineStr">
        <is>
          <t>Carowhite</t>
        </is>
      </c>
      <c r="B452" s="4" t="inlineStr"/>
      <c r="C452" s="4" t="inlineStr">
        <is>
          <t>Caro White lait de beauté clarifiant</t>
        </is>
      </c>
      <c r="D452" s="4" t="inlineStr">
        <is>
          <t>Visage et corps</t>
        </is>
      </c>
      <c r="E452" s="5" t="inlineStr">
        <is>
          <t>à confirmer</t>
        </is>
      </c>
      <c r="F452" s="4" t="inlineStr">
        <is>
          <t>500 ml</t>
        </is>
      </c>
      <c r="G452" s="4">
        <f>IMAGE("https://www.ladyedna.com/6264-large_default/caro-white-lait-de-beaute-clarifiant.jpg")</f>
        <v/>
      </c>
      <c r="H452" s="4" t="inlineStr">
        <is>
          <t>https://www.ladyedna.com/fr/lait-et-lotion-de-beaute/1523-caro-white-lait-de-beaute-clarifiant.html</t>
        </is>
      </c>
      <c r="I452" s="4" t="inlineStr">
        <is>
          <t>Lady Edna (revendeur)</t>
        </is>
      </c>
      <c r="J452" s="4" t="inlineStr">
        <is>
          <t>Gamme éclaircissante : à ne pas mettre en avant</t>
        </is>
      </c>
    </row>
    <row r="453" ht="70" customHeight="1">
      <c r="A453" s="4" t="inlineStr">
        <is>
          <t>Carowhite</t>
        </is>
      </c>
      <c r="B453" s="4" t="inlineStr"/>
      <c r="C453" s="4" t="inlineStr">
        <is>
          <t>Caro White crème de beauté clarifiante</t>
        </is>
      </c>
      <c r="D453" s="4" t="inlineStr">
        <is>
          <t>Visage et corps</t>
        </is>
      </c>
      <c r="E453" s="5" t="inlineStr">
        <is>
          <t>à confirmer</t>
        </is>
      </c>
      <c r="F453" s="4" t="inlineStr">
        <is>
          <t>500 ml</t>
        </is>
      </c>
      <c r="G453" s="4">
        <f>IMAGE("https://www.ladyedna.com/6267-large_default/caro-white-creme-de-beaute-clarifiante.jpg")</f>
        <v/>
      </c>
      <c r="H453" s="4" t="inlineStr">
        <is>
          <t>https://www.ladyedna.com/fr/creme-et-pommade/1524-caro-white-creme-de-beaute-clarifiante.html</t>
        </is>
      </c>
      <c r="I453" s="4" t="inlineStr">
        <is>
          <t>Lady Edna (revendeur)</t>
        </is>
      </c>
      <c r="J453" s="4" t="inlineStr">
        <is>
          <t>Gamme éclaircissante : à ne pas mettre en avant</t>
        </is>
      </c>
    </row>
    <row r="454" ht="70" customHeight="1">
      <c r="A454" s="4" t="inlineStr">
        <is>
          <t>Carowhite</t>
        </is>
      </c>
      <c r="B454" s="4" t="inlineStr"/>
      <c r="C454" s="4" t="inlineStr">
        <is>
          <t>Caro White huile clarifiante</t>
        </is>
      </c>
      <c r="D454" s="4" t="inlineStr">
        <is>
          <t>Visage et corps</t>
        </is>
      </c>
      <c r="E454" s="5" t="inlineStr">
        <is>
          <t>à confirmer</t>
        </is>
      </c>
      <c r="F454" s="4" t="inlineStr">
        <is>
          <t>50 ml</t>
        </is>
      </c>
      <c r="G454" s="4">
        <f>IMAGE("https://www.ladyedna.com/6270-large_default/caro-white-huile-clarifiante.jpg")</f>
        <v/>
      </c>
      <c r="H454" s="4" t="inlineStr">
        <is>
          <t>https://www.ladyedna.com/fr/huile/1525-caro-white-huile-clarifiante.html</t>
        </is>
      </c>
      <c r="I454" s="4" t="inlineStr">
        <is>
          <t>Lady Edna (revendeur)</t>
        </is>
      </c>
      <c r="J454" s="4" t="inlineStr">
        <is>
          <t>Gamme éclaircissante : à ne pas mettre en avant</t>
        </is>
      </c>
    </row>
    <row r="455" ht="70" customHeight="1">
      <c r="A455" s="4" t="inlineStr">
        <is>
          <t>Dermaskin</t>
        </is>
      </c>
      <c r="B455" s="4" t="inlineStr"/>
      <c r="C455" s="4" t="inlineStr">
        <is>
          <t>Derma Skin Crème visage et corps au citron</t>
        </is>
      </c>
      <c r="D455" s="4" t="inlineStr">
        <is>
          <t>Visage et corps</t>
        </is>
      </c>
      <c r="E455" s="5" t="inlineStr">
        <is>
          <t>à confirmer</t>
        </is>
      </c>
      <c r="F455" s="4" t="inlineStr">
        <is>
          <t>1 kg</t>
        </is>
      </c>
      <c r="G455" s="4">
        <f>IMAGE("https://www.ladyedna.com/6298-large_default/derma-skin-creme-visage-et-corps-au-citron.jpg")</f>
        <v/>
      </c>
      <c r="H455" s="4" t="inlineStr">
        <is>
          <t>https://www.ladyedna.com/fr/creme-et-pommade/1546-derma-skin-creme-visage-et-corps-au-citron.html</t>
        </is>
      </c>
      <c r="I455" s="4" t="inlineStr">
        <is>
          <t>Lady Edna (revendeur)</t>
        </is>
      </c>
      <c r="J455" s="4" t="inlineStr"/>
    </row>
    <row r="456" ht="70" customHeight="1">
      <c r="A456" s="4" t="inlineStr">
        <is>
          <t>Dermaskin</t>
        </is>
      </c>
      <c r="B456" s="4" t="inlineStr"/>
      <c r="C456" s="4" t="inlineStr">
        <is>
          <t>Derma Skin Crème visage et corps à la vitamine E</t>
        </is>
      </c>
      <c r="D456" s="4" t="inlineStr">
        <is>
          <t>Visage et corps</t>
        </is>
      </c>
      <c r="E456" s="5" t="inlineStr">
        <is>
          <t>à confirmer</t>
        </is>
      </c>
      <c r="F456" s="4" t="inlineStr">
        <is>
          <t>1 kg</t>
        </is>
      </c>
      <c r="G456" s="4">
        <f>IMAGE("https://www.ladyedna.com/6300-large_default/derma-skin-creme-visage-et-corps-a-la-vitamine-e.jpg")</f>
        <v/>
      </c>
      <c r="H456" s="4" t="inlineStr">
        <is>
          <t>https://www.ladyedna.com/fr/creme-et-pommade/1547-derma-skin-creme-visage-et-corps-a-la-vitamine-e.html</t>
        </is>
      </c>
      <c r="I456" s="4" t="inlineStr">
        <is>
          <t>Lady Edna (revendeur)</t>
        </is>
      </c>
      <c r="J456" s="4" t="inlineStr"/>
    </row>
    <row r="457" ht="70" customHeight="1">
      <c r="A457" s="4" t="inlineStr">
        <is>
          <t>Dermaskin</t>
        </is>
      </c>
      <c r="B457" s="4" t="inlineStr"/>
      <c r="C457" s="4" t="inlineStr">
        <is>
          <t>Derma Skin Crème visage et corps à la glycérine</t>
        </is>
      </c>
      <c r="D457" s="4" t="inlineStr">
        <is>
          <t>Visage et corps</t>
        </is>
      </c>
      <c r="E457" s="5" t="inlineStr">
        <is>
          <t>à confirmer</t>
        </is>
      </c>
      <c r="F457" s="4" t="inlineStr">
        <is>
          <t>1 kg</t>
        </is>
      </c>
      <c r="G457" s="4">
        <f>IMAGE("https://www.ladyedna.com/6302-large_default/derma-skin-creme-visage-et-corps-a-la-glycerine.jpg")</f>
        <v/>
      </c>
      <c r="H457" s="4" t="inlineStr">
        <is>
          <t>https://www.ladyedna.com/fr/creme-et-pommade/1548-derma-skin-creme-visage-et-corps-a-la-glycerine.html</t>
        </is>
      </c>
      <c r="I457" s="4" t="inlineStr">
        <is>
          <t>Lady Edna (revendeur)</t>
        </is>
      </c>
      <c r="J457" s="4" t="inlineStr"/>
    </row>
    <row r="458" ht="70" customHeight="1">
      <c r="A458" s="4" t="inlineStr">
        <is>
          <t>Dermaskin</t>
        </is>
      </c>
      <c r="B458" s="4" t="inlineStr"/>
      <c r="C458" s="4" t="inlineStr">
        <is>
          <t>Derma Skin lait hydratant pour les mains et le corps à la vitamine E</t>
        </is>
      </c>
      <c r="D458" s="4" t="inlineStr">
        <is>
          <t>Visage et corps</t>
        </is>
      </c>
      <c r="E458" s="5" t="inlineStr">
        <is>
          <t>à confirmer</t>
        </is>
      </c>
      <c r="F458" s="4" t="inlineStr">
        <is>
          <t>400 ml</t>
        </is>
      </c>
      <c r="G458" s="4">
        <f>IMAGE("https://www.ladyedna.com/6304-large_default/derma-skin-lait-hydratant-pour-les-mains-et-le-corps-a-la-vitamine-e.jpg")</f>
        <v/>
      </c>
      <c r="H458" s="4" t="inlineStr">
        <is>
          <t>https://www.ladyedna.com/fr/lait-et-lotion-de-beaute/1549-derma-skin-lait-hydratant-pour-les-mains-et-le-corps-a-la-vitamine-e.html</t>
        </is>
      </c>
      <c r="I458" s="4" t="inlineStr">
        <is>
          <t>Lady Edna (revendeur)</t>
        </is>
      </c>
      <c r="J458" s="4" t="inlineStr"/>
    </row>
    <row r="459" ht="70" customHeight="1">
      <c r="A459" s="4" t="inlineStr">
        <is>
          <t>Dermaskin</t>
        </is>
      </c>
      <c r="B459" s="4" t="inlineStr"/>
      <c r="C459" s="4" t="inlineStr">
        <is>
          <t>Derma Skin lait hydratant pour les mains et le corps à la glycérine</t>
        </is>
      </c>
      <c r="D459" s="4" t="inlineStr">
        <is>
          <t>Visage et corps</t>
        </is>
      </c>
      <c r="E459" s="5" t="inlineStr">
        <is>
          <t>à confirmer</t>
        </is>
      </c>
      <c r="F459" s="4" t="inlineStr">
        <is>
          <t>400 ml</t>
        </is>
      </c>
      <c r="G459" s="4">
        <f>IMAGE("https://www.ladyedna.com/6308-large_default/derma-skin-lait-hydratant-pour-les-mains-et-le-corps-a-la-glycerine.jpg")</f>
        <v/>
      </c>
      <c r="H459" s="4" t="inlineStr">
        <is>
          <t>https://www.ladyedna.com/fr/lait-et-lotion-de-beaute/1550-derma-skin-lait-hydratant-pour-les-mains-et-le-corps-a-la-glycerine.html</t>
        </is>
      </c>
      <c r="I459" s="4" t="inlineStr">
        <is>
          <t>Lady Edna (revendeur)</t>
        </is>
      </c>
      <c r="J459" s="4" t="inlineStr"/>
    </row>
    <row r="460" ht="70" customHeight="1">
      <c r="A460" s="4" t="inlineStr">
        <is>
          <t>Clear Therapy</t>
        </is>
      </c>
      <c r="B460" s="4" t="inlineStr"/>
      <c r="C460" s="4" t="inlineStr">
        <is>
          <t>CT+ Clear Therapy savon clarifiant pureté aux extraits végétaux</t>
        </is>
      </c>
      <c r="D460" s="4" t="inlineStr">
        <is>
          <t>Savon</t>
        </is>
      </c>
      <c r="E460" s="5" t="inlineStr">
        <is>
          <t>à confirmer</t>
        </is>
      </c>
      <c r="F460" s="4" t="inlineStr">
        <is>
          <t>175 g</t>
        </is>
      </c>
      <c r="G460" s="4">
        <f>IMAGE("https://www.ladyedna.com/6472-large_default/ct-clear-therapy-savon-clarifiant-purete.jpg")</f>
        <v/>
      </c>
      <c r="H460" s="4" t="inlineStr">
        <is>
          <t>https://www.ladyedna.com/fr/gel-douche-et-savon/1615-ct-clear-therapy-savon-clarifiant-purete.html</t>
        </is>
      </c>
      <c r="I460" s="4" t="inlineStr">
        <is>
          <t>Lady Edna (revendeur)</t>
        </is>
      </c>
      <c r="J460" s="4" t="inlineStr"/>
    </row>
    <row r="461" ht="70" customHeight="1">
      <c r="A461" s="4" t="inlineStr">
        <is>
          <t>Carowhite</t>
        </is>
      </c>
      <c r="B461" s="4" t="inlineStr"/>
      <c r="C461" s="4" t="inlineStr">
        <is>
          <t>CT+ Clear Therapy savon clarifiant pureté à l'huile de carotte</t>
        </is>
      </c>
      <c r="D461" s="4" t="inlineStr">
        <is>
          <t>Savon</t>
        </is>
      </c>
      <c r="E461" s="5" t="inlineStr">
        <is>
          <t>à confirmer</t>
        </is>
      </c>
      <c r="F461" s="4" t="inlineStr">
        <is>
          <t>175 g</t>
        </is>
      </c>
      <c r="G461" s="4">
        <f>IMAGE("https://www.ladyedna.com/6468-large_default/ct-clear-therapy-savon-clariant-purete-a-l-huile-de-carotte.jpg")</f>
        <v/>
      </c>
      <c r="H461" s="4" t="inlineStr">
        <is>
          <t>https://www.ladyedna.com/fr/gel-douche-et-savon/1616-ct-clear-therapy-savon-clariant-purete-a-l-huile-de-carotte.html</t>
        </is>
      </c>
      <c r="I461" s="4" t="inlineStr">
        <is>
          <t>Lady Edna (revendeur)</t>
        </is>
      </c>
      <c r="J461" s="4" t="inlineStr">
        <is>
          <t>Gamme éclaircissante : à ne pas mettre en avant</t>
        </is>
      </c>
    </row>
    <row r="462" ht="70" customHeight="1">
      <c r="A462" s="4" t="inlineStr">
        <is>
          <t>Clairmen</t>
        </is>
      </c>
      <c r="B462" s="4" t="inlineStr"/>
      <c r="C462" s="4" t="inlineStr">
        <is>
          <t>Clairmen gel douche pour homme</t>
        </is>
      </c>
      <c r="D462" s="4" t="inlineStr">
        <is>
          <t>Corps (douche)</t>
        </is>
      </c>
      <c r="E462" s="5" t="inlineStr">
        <is>
          <t>à confirmer</t>
        </is>
      </c>
      <c r="F462" s="4" t="inlineStr">
        <is>
          <t>1 Litre</t>
        </is>
      </c>
      <c r="G462" s="4">
        <f>IMAGE("https://www.ladyedna.com/6530-large_default/clairmen-gel-douche-pour-homme.jpg")</f>
        <v/>
      </c>
      <c r="H462" s="4" t="inlineStr">
        <is>
          <t>https://www.ladyedna.com/fr/soins-de-la-peau-pour-hommes/1622-clairmen-gel-douche-pour-homme.html</t>
        </is>
      </c>
      <c r="I462" s="4" t="inlineStr">
        <is>
          <t>Lady Edna (revendeur)</t>
        </is>
      </c>
      <c r="J462" s="4" t="inlineStr">
        <is>
          <t>Gamme éclaircissante : à ne pas mettre en avant</t>
        </is>
      </c>
    </row>
    <row r="463" ht="70" customHeight="1">
      <c r="A463" s="4" t="inlineStr">
        <is>
          <t>Cocopulp</t>
        </is>
      </c>
      <c r="B463" s="4" t="inlineStr"/>
      <c r="C463" s="4" t="inlineStr">
        <is>
          <t>Cocopulp gel douche à l'huile de coco</t>
        </is>
      </c>
      <c r="D463" s="4" t="inlineStr">
        <is>
          <t>Corps (douche)</t>
        </is>
      </c>
      <c r="E463" s="5" t="inlineStr">
        <is>
          <t>à confirmer</t>
        </is>
      </c>
      <c r="F463" s="4" t="inlineStr">
        <is>
          <t>1 Litre</t>
        </is>
      </c>
      <c r="G463" s="4">
        <f>IMAGE("https://www.ladyedna.com/6531-large_default/cocopulp-gel-douche-a-l-huile-de-coco.jpg")</f>
        <v/>
      </c>
      <c r="H463" s="4" t="inlineStr">
        <is>
          <t>https://www.ladyedna.com/fr/gel-douche-et-savon/1623-cocopulp-gel-douche-a-l-huile-de-coco.html</t>
        </is>
      </c>
      <c r="I463" s="4" t="inlineStr">
        <is>
          <t>Lady Edna (revendeur)</t>
        </is>
      </c>
      <c r="J463" s="4" t="inlineStr"/>
    </row>
    <row r="464" ht="70" customHeight="1">
      <c r="A464" s="4" t="inlineStr">
        <is>
          <t>Perfect white</t>
        </is>
      </c>
      <c r="B464" s="4" t="inlineStr"/>
      <c r="C464" s="4" t="inlineStr">
        <is>
          <t>Perfect White Lightening Beauty Cream</t>
        </is>
      </c>
      <c r="D464" s="4" t="inlineStr">
        <is>
          <t>Visage et corps</t>
        </is>
      </c>
      <c r="E464" s="5" t="inlineStr">
        <is>
          <t>à confirmer</t>
        </is>
      </c>
      <c r="F464" s="5" t="inlineStr">
        <is>
          <t>à confirmer</t>
        </is>
      </c>
      <c r="G464" s="4">
        <f>IMAGE("https://cdn.shopify.com/s/files/1/0530/0512/3742/products/Dream-Cosmetics-Perfect-White-Lightening-Beauty-Cream-Cream-150ml-c1q.jpg?v=1629107043")</f>
        <v/>
      </c>
      <c r="H464" s="4" t="inlineStr">
        <is>
          <t>https://betocosmetics.com/products/perfect-white-lightening-beauty-cream</t>
        </is>
      </c>
      <c r="I464" s="4" t="inlineStr">
        <is>
          <t>Beto Cosmetics (revendeur)</t>
        </is>
      </c>
      <c r="J464" s="4" t="inlineStr">
        <is>
          <t>Gamme éclaircissante : à ne pas mettre en avant</t>
        </is>
      </c>
    </row>
    <row r="465" ht="70" customHeight="1">
      <c r="A465" s="4" t="inlineStr">
        <is>
          <t>Perfect white</t>
        </is>
      </c>
      <c r="B465" s="4" t="inlineStr"/>
      <c r="C465" s="4" t="inlineStr">
        <is>
          <t>Perfect White Lightening Beauty Lotion  WITHOUT HYDROQUINONE</t>
        </is>
      </c>
      <c r="D465" s="4" t="inlineStr">
        <is>
          <t>Visage et corps</t>
        </is>
      </c>
      <c r="E465" s="5" t="inlineStr">
        <is>
          <t>à confirmer</t>
        </is>
      </c>
      <c r="F465" s="5" t="inlineStr">
        <is>
          <t>à confirmer</t>
        </is>
      </c>
      <c r="G465" s="4">
        <f>IMAGE("https://cdn.shopify.com/s/files/1/0530/0512/3742/products/Dream-Cosmetics-Perfect-White-Lightening-Beauty-Lotion-WITHOUT-HYDROQUINONE-Lotion-250ml-e1v.jpg?v=1629107050")</f>
        <v/>
      </c>
      <c r="H465" s="4" t="inlineStr">
        <is>
          <t>https://betocosmetics.com/products/perfect-white-lightening-beauty-lotion-without-hydroquinone</t>
        </is>
      </c>
      <c r="I465" s="4" t="inlineStr">
        <is>
          <t>Beto Cosmetics (revendeur)</t>
        </is>
      </c>
      <c r="J465" s="4" t="inlineStr">
        <is>
          <t>Gamme éclaircissante : à ne pas mettre en avant</t>
        </is>
      </c>
    </row>
    <row r="466" ht="70" customHeight="1">
      <c r="A466" s="4" t="inlineStr">
        <is>
          <t>Cocopulp</t>
        </is>
      </c>
      <c r="B466" s="4" t="inlineStr"/>
      <c r="C466" s="4" t="inlineStr">
        <is>
          <t>CocoPulp Lightening Cream with Coconut Oil 300ml</t>
        </is>
      </c>
      <c r="D466" s="4" t="inlineStr">
        <is>
          <t>Visage et corps</t>
        </is>
      </c>
      <c r="E466" s="5" t="inlineStr">
        <is>
          <t>à confirmer</t>
        </is>
      </c>
      <c r="F466" s="4" t="inlineStr">
        <is>
          <t>300ml</t>
        </is>
      </c>
      <c r="G466" s="4">
        <f>IMAGE("https://cdn.shopify.com/s/files/1/0530/0512/3742/products/4245383_gridplus-1602740447090_620x620_0b2ba902-c4b5-42f7-b9bb-6a8cdec38261.webp?v=1680527563")</f>
        <v/>
      </c>
      <c r="H466" s="4" t="inlineStr">
        <is>
          <t>https://betocosmetics.com/products/cocopulp-lightening-cream-with-coconut-oil-500ml</t>
        </is>
      </c>
      <c r="I466" s="4" t="inlineStr">
        <is>
          <t>Beto Cosmetics (revendeur)</t>
        </is>
      </c>
      <c r="J466" s="4" t="inlineStr">
        <is>
          <t>Gamme éclaircissante : à ne pas mettre en avant</t>
        </is>
      </c>
    </row>
    <row r="467" ht="70" customHeight="1">
      <c r="A467" s="4" t="inlineStr">
        <is>
          <t>Paw Paw</t>
        </is>
      </c>
      <c r="B467" s="4" t="inlineStr"/>
      <c r="C467" s="4" t="inlineStr">
        <is>
          <t>Paw Paw Clarifying Lotion with Vitamin E and Papaya extracts</t>
        </is>
      </c>
      <c r="D467" s="4" t="inlineStr">
        <is>
          <t>Visage et corps</t>
        </is>
      </c>
      <c r="E467" s="5" t="inlineStr">
        <is>
          <t>à confirmer</t>
        </is>
      </c>
      <c r="F467" s="5" t="inlineStr">
        <is>
          <t>à confirmer</t>
        </is>
      </c>
      <c r="G467" s="4">
        <f>IMAGE("https://cdn.shopify.com/s/files/1/0530/0512/3742/products/Dream-Cosmetics-Paw-Paw-Clarifying-Lotion-with-Vitamin-E-and-Papaya-extracts-Lotion-500ml-Papaya-Vitamin-E-e1w.jpg?v=1629107033")</f>
        <v/>
      </c>
      <c r="H467" s="4" t="inlineStr">
        <is>
          <t>https://betocosmetics.com/products/paw-paw-clarifying-lotion-with-vitamin-e-and-papaya-extracts</t>
        </is>
      </c>
      <c r="I467" s="4" t="inlineStr">
        <is>
          <t>Beto Cosmetics (revendeur)</t>
        </is>
      </c>
      <c r="J467" s="4" t="inlineStr"/>
    </row>
    <row r="468" ht="70" customHeight="1">
      <c r="A468" s="4" t="inlineStr">
        <is>
          <t>Paw Paw</t>
        </is>
      </c>
      <c r="B468" s="4" t="inlineStr"/>
      <c r="C468" s="4" t="inlineStr">
        <is>
          <t>Paw Paw Papaya &amp; Vitamin E Clarifying Cream 300ml</t>
        </is>
      </c>
      <c r="D468" s="4" t="inlineStr">
        <is>
          <t>Visage et corps</t>
        </is>
      </c>
      <c r="E468" s="5" t="inlineStr">
        <is>
          <t>à confirmer</t>
        </is>
      </c>
      <c r="F468" s="4" t="inlineStr">
        <is>
          <t>300ml</t>
        </is>
      </c>
      <c r="G468" s="4">
        <f>IMAGE("https://cdn.shopify.com/s/files/1/0530/0512/3742/files/s-l1600_86a9ad00-2bd6-4046-9b96-5605a74ac7e9.jpg?v=1695306602")</f>
        <v/>
      </c>
      <c r="H468" s="4" t="inlineStr">
        <is>
          <t>https://betocosmetics.com/products/paw-paw-papaya-vitamin-e-clarifying-cream-300ml</t>
        </is>
      </c>
      <c r="I468" s="4" t="inlineStr">
        <is>
          <t>Beto Cosmetics (revendeur)</t>
        </is>
      </c>
      <c r="J468" s="4" t="inlineStr"/>
    </row>
    <row r="469" ht="70" customHeight="1">
      <c r="A469" s="4" t="inlineStr">
        <is>
          <t>Cocopulp</t>
        </is>
      </c>
      <c r="B469" s="4" t="inlineStr"/>
      <c r="C469" s="4" t="inlineStr">
        <is>
          <t>CocoPulp Lait Clarifiant Lightening Lotion with Coconut Oil</t>
        </is>
      </c>
      <c r="D469" s="4" t="inlineStr">
        <is>
          <t>Visage et corps</t>
        </is>
      </c>
      <c r="E469" s="5" t="inlineStr">
        <is>
          <t>à confirmer</t>
        </is>
      </c>
      <c r="F469" s="5" t="inlineStr">
        <is>
          <t>à confirmer</t>
        </is>
      </c>
      <c r="G469" s="4">
        <f>IMAGE("https://cdn.shopify.com/s/files/1/0530/0512/3742/files/N3kOJHaXnuRLkVgzkAUOQYbdFK4vU3ZJIpO3_Iw2HAjtSpr1fxR50jseVB6WTrB1mTRgh38pAgvJ8v7ZGalvPgd1RBhtwsw6U3RJMdlkWNopbw.png?v=1714313735")</f>
        <v/>
      </c>
      <c r="H469" s="4" t="inlineStr">
        <is>
          <t>https://betocosmetics.com/products/cocopulp-lightening-lotion-with-coconut-oil-500ml</t>
        </is>
      </c>
      <c r="I469" s="4" t="inlineStr">
        <is>
          <t>Beto Cosmetics (revendeur)</t>
        </is>
      </c>
      <c r="J469" s="4" t="inlineStr">
        <is>
          <t>Gamme éclaircissante : à ne pas mettre en avant</t>
        </is>
      </c>
    </row>
    <row r="470" ht="70" customHeight="1">
      <c r="A470" s="4" t="inlineStr">
        <is>
          <t>Paw Paw</t>
        </is>
      </c>
      <c r="B470" s="4" t="inlineStr"/>
      <c r="C470" s="4" t="inlineStr">
        <is>
          <t>Paw Paw Clarifying Cream with Vitamin E and Papaya extracts 50ml</t>
        </is>
      </c>
      <c r="D470" s="4" t="inlineStr">
        <is>
          <t>Visage et corps</t>
        </is>
      </c>
      <c r="E470" s="5" t="inlineStr">
        <is>
          <t>à confirmer</t>
        </is>
      </c>
      <c r="F470" s="4" t="inlineStr">
        <is>
          <t>50ml</t>
        </is>
      </c>
      <c r="G470" s="4">
        <f>IMAGE("https://cdn.shopify.com/s/files/1/0530/0512/3742/files/PAWPAW-CREMEINTENSE2.jpg?v=1695307883")</f>
        <v/>
      </c>
      <c r="H470" s="4" t="inlineStr">
        <is>
          <t>https://betocosmetics.com/products/paw-paw-papaya-clarifying-tube-cream</t>
        </is>
      </c>
      <c r="I470" s="4" t="inlineStr">
        <is>
          <t>Beto Cosmetics (revendeur)</t>
        </is>
      </c>
      <c r="J470" s="4" t="inlineStr"/>
    </row>
    <row r="471" ht="70" customHeight="1">
      <c r="A471" s="4" t="inlineStr">
        <is>
          <t>Perfect white</t>
        </is>
      </c>
      <c r="B471" s="4" t="inlineStr"/>
      <c r="C471" s="4" t="inlineStr">
        <is>
          <t>Perfect White Dark Spot Remover 7 days</t>
        </is>
      </c>
      <c r="D471" s="4" t="inlineStr">
        <is>
          <t>Visage et corps</t>
        </is>
      </c>
      <c r="E471" s="5" t="inlineStr">
        <is>
          <t>à confirmer</t>
        </is>
      </c>
      <c r="F471" s="5" t="inlineStr">
        <is>
          <t>à confirmer</t>
        </is>
      </c>
      <c r="G471" s="4">
        <f>IMAGE("https://cdn.shopify.com/s/files/1/0530/0512/3742/products/Dream-Cosmetics-Perfect-White-Dark-Spot-Remover-7-days-Skin-Treatment-40ml-v1q.jpg?v=1629107040")</f>
        <v/>
      </c>
      <c r="H471" s="4" t="inlineStr">
        <is>
          <t>https://betocosmetics.com/products/perfect-white-dark-spot-remover-7-days</t>
        </is>
      </c>
      <c r="I471" s="4" t="inlineStr">
        <is>
          <t>Beto Cosmetics (revendeur)</t>
        </is>
      </c>
      <c r="J471" s="4" t="inlineStr">
        <is>
          <t>Gamme éclaircissante : à ne pas mettre en avant</t>
        </is>
      </c>
    </row>
    <row r="472" ht="70" customHeight="1">
      <c r="A472" s="4" t="inlineStr">
        <is>
          <t>Paw Paw</t>
        </is>
      </c>
      <c r="B472" s="4" t="inlineStr"/>
      <c r="C472" s="4" t="inlineStr">
        <is>
          <t>Paw Paw Clarifying oil with Vitamin E and Papaya extracts</t>
        </is>
      </c>
      <c r="D472" s="4" t="inlineStr">
        <is>
          <t>Visage et corps</t>
        </is>
      </c>
      <c r="E472" s="5" t="inlineStr">
        <is>
          <t>à confirmer</t>
        </is>
      </c>
      <c r="F472" s="5" t="inlineStr">
        <is>
          <t>à confirmer</t>
        </is>
      </c>
      <c r="G472" s="4">
        <f>IMAGE("https://cdn.shopify.com/s/files/1/0530/0512/3742/products/Dream-Cosmetics-Paw-Paw-Clarifying-oil-with-Vitamin-E-and-Papaya-extracts-Serum-_-Oil-60ml-Papaya-Vitamin-E-p1p.jpg?v=1629107037")</f>
        <v/>
      </c>
      <c r="H472" s="4" t="inlineStr">
        <is>
          <t>https://betocosmetics.com/products/paw-paw-clarifying-oil-with-vitamin-e-and-papaya-extracts</t>
        </is>
      </c>
      <c r="I472" s="4" t="inlineStr">
        <is>
          <t>Beto Cosmetics (revendeur)</t>
        </is>
      </c>
      <c r="J472" s="4" t="inlineStr"/>
    </row>
    <row r="473" ht="70" customHeight="1">
      <c r="A473" s="4" t="inlineStr">
        <is>
          <t>Perfect white</t>
        </is>
      </c>
      <c r="B473" s="4" t="inlineStr"/>
      <c r="C473" s="4" t="inlineStr">
        <is>
          <t>PerfectWhite Lightening Beauty Bar Soap</t>
        </is>
      </c>
      <c r="D473" s="4" t="inlineStr">
        <is>
          <t>Savon</t>
        </is>
      </c>
      <c r="E473" s="5" t="inlineStr">
        <is>
          <t>à confirmer</t>
        </is>
      </c>
      <c r="F473" s="5" t="inlineStr">
        <is>
          <t>à confirmer</t>
        </is>
      </c>
      <c r="G473" s="4">
        <f>IMAGE("https://cdn.shopify.com/s/files/1/0530/0512/3742/products/Dream-Cosmetics-PerfectWhite-Lightening-Beauty-Bar-Soap-Soap-200gr-z1z.jpg?v=1629107053")</f>
        <v/>
      </c>
      <c r="H473" s="4" t="inlineStr">
        <is>
          <t>https://betocosmetics.com/products/perfectwhite-lightening-beauty-bar-soap</t>
        </is>
      </c>
      <c r="I473" s="4" t="inlineStr">
        <is>
          <t>Beto Cosmetics (revendeur)</t>
        </is>
      </c>
      <c r="J473" s="4" t="inlineStr">
        <is>
          <t>Gamme éclaircissante : à ne pas mettre en avant</t>
        </is>
      </c>
    </row>
    <row r="474" ht="70" customHeight="1">
      <c r="A474" s="4" t="inlineStr">
        <is>
          <t>Paw Paw</t>
        </is>
      </c>
      <c r="B474" s="4" t="inlineStr"/>
      <c r="C474" s="4" t="inlineStr">
        <is>
          <t>Paw Paw Clarifying Dark Spot Corrector with Vitamin E and Papaya extracts 25ml</t>
        </is>
      </c>
      <c r="D474" s="4" t="inlineStr">
        <is>
          <t>Visage et corps</t>
        </is>
      </c>
      <c r="E474" s="5" t="inlineStr">
        <is>
          <t>à confirmer</t>
        </is>
      </c>
      <c r="F474" s="4" t="inlineStr">
        <is>
          <t>25ml</t>
        </is>
      </c>
      <c r="G474" s="4">
        <f>IMAGE("https://cdn.shopify.com/s/files/1/0530/0512/3742/files/IMG-20230823-WA0031.jpg?v=1695307257")</f>
        <v/>
      </c>
      <c r="H474" s="4" t="inlineStr">
        <is>
          <t>https://betocosmetics.com/products/paw-paw-clarifying-dark-spot-corrector-with-vitamin-e-and-papaya-extracts-25ml</t>
        </is>
      </c>
      <c r="I474" s="4" t="inlineStr">
        <is>
          <t>Beto Cosmetics (revendeur)</t>
        </is>
      </c>
      <c r="J474" s="4" t="inlineStr"/>
    </row>
    <row r="475" ht="70" customHeight="1">
      <c r="A475" s="4" t="inlineStr">
        <is>
          <t>Cocopulp</t>
        </is>
      </c>
      <c r="B475" s="4" t="inlineStr"/>
      <c r="C475" s="4" t="inlineStr">
        <is>
          <t>CocoPulp Clarifiant Lightening oil 30ml</t>
        </is>
      </c>
      <c r="D475" s="4" t="inlineStr">
        <is>
          <t>Visage et corps</t>
        </is>
      </c>
      <c r="E475" s="5" t="inlineStr">
        <is>
          <t>à confirmer</t>
        </is>
      </c>
      <c r="F475" s="4" t="inlineStr">
        <is>
          <t>30ml</t>
        </is>
      </c>
      <c r="G475" s="4">
        <f>IMAGE("https://cdn.shopify.com/s/files/1/0530/0512/3742/files/E25F11B4-51C1-4704-8E86-1A4E9FF1F2EF.jpg?v=1761234022")</f>
        <v/>
      </c>
      <c r="H475" s="4" t="inlineStr">
        <is>
          <t>https://betocosmetics.com/products/cocopulp-clarifiant-lightening-oil-30ml</t>
        </is>
      </c>
      <c r="I475" s="4" t="inlineStr">
        <is>
          <t>Beto Cosmetics (revendeur)</t>
        </is>
      </c>
      <c r="J475" s="4" t="inlineStr">
        <is>
          <t>Gamme éclaircissante : à ne pas mettre en avant</t>
        </is>
      </c>
    </row>
    <row r="476" ht="70" customHeight="1">
      <c r="A476" s="4" t="inlineStr">
        <is>
          <t>Paw Paw</t>
        </is>
      </c>
      <c r="B476" s="4" t="inlineStr"/>
      <c r="C476" s="4" t="inlineStr">
        <is>
          <t>Paw Paw Clarifying Shower Gel with Vitamin E and Papaya extracts 500ml</t>
        </is>
      </c>
      <c r="D476" s="4" t="inlineStr">
        <is>
          <t>Corps (douche)</t>
        </is>
      </c>
      <c r="E476" s="5" t="inlineStr">
        <is>
          <t>à confirmer</t>
        </is>
      </c>
      <c r="F476" s="4" t="inlineStr">
        <is>
          <t>500ml</t>
        </is>
      </c>
      <c r="G476" s="4">
        <f>IMAGE("https://cdn.shopify.com/s/files/1/0530/0512/3742/files/paw-paw-shower-gel__92438.1594375833.jpg?v=1695308586")</f>
        <v/>
      </c>
      <c r="H476" s="4" t="inlineStr">
        <is>
          <t>https://betocosmetics.com/products/paw-paw-clarifying-shower-gel-with-vitamin-e-and-papaya-extracts-500ml</t>
        </is>
      </c>
      <c r="I476" s="4" t="inlineStr">
        <is>
          <t>Beto Cosmetics (revendeur)</t>
        </is>
      </c>
      <c r="J476" s="4" t="inlineStr"/>
    </row>
    <row r="477" ht="70" customHeight="1">
      <c r="A477" s="4" t="inlineStr">
        <is>
          <t>Paw Paw</t>
        </is>
      </c>
      <c r="B477" s="4" t="inlineStr"/>
      <c r="C477" s="4" t="inlineStr">
        <is>
          <t>Paw Paw Clarifying Soap with Vitamin E and Papaya extracts 180g</t>
        </is>
      </c>
      <c r="D477" s="4" t="inlineStr">
        <is>
          <t>Savon</t>
        </is>
      </c>
      <c r="E477" s="5" t="inlineStr">
        <is>
          <t>à confirmer</t>
        </is>
      </c>
      <c r="F477" s="4" t="inlineStr">
        <is>
          <t>180g</t>
        </is>
      </c>
      <c r="G477" s="4">
        <f>IMAGE("https://cdn.shopify.com/s/files/1/0530/0512/3742/files/51VnXLc1hDL._AC_UF1000_1000_QL80.jpg?v=1695308400")</f>
        <v/>
      </c>
      <c r="H477" s="4" t="inlineStr">
        <is>
          <t>https://betocosmetics.com/products/paw-paw-clarifying-soap-with-vitamin-e-and-papaya-extracts-180g</t>
        </is>
      </c>
      <c r="I477" s="4" t="inlineStr">
        <is>
          <t>Beto Cosmetics (revendeur)</t>
        </is>
      </c>
      <c r="J477" s="4" t="inlineStr"/>
    </row>
    <row r="478" ht="70" customHeight="1">
      <c r="A478" s="4" t="inlineStr">
        <is>
          <t>Cocopulp</t>
        </is>
      </c>
      <c r="B478" s="4" t="inlineStr"/>
      <c r="C478" s="4" t="inlineStr">
        <is>
          <t>CocoPulp Lait Clarifiant Lightening Soap</t>
        </is>
      </c>
      <c r="D478" s="4" t="inlineStr">
        <is>
          <t>Savon</t>
        </is>
      </c>
      <c r="E478" s="5" t="inlineStr">
        <is>
          <t>à confirmer</t>
        </is>
      </c>
      <c r="F478" s="5" t="inlineStr">
        <is>
          <t>à confirmer</t>
        </is>
      </c>
      <c r="G478" s="4">
        <f>IMAGE("https://cdn.shopify.com/s/files/1/0530/0512/3742/files/mPjkeitx_xFc2O_BvSSqHhQC9a4kgBX-kMUhYlfTZ5NjvWVKXRc84-CfU1wB5xquR62unlwR2YCPZIMt_xfwhoak1_XtLKZkS1FdQpO2d1KpszIK7kZWb3WZp_cQqXYjg8J9sOvAdKavuiTLyELLF5_Rl5V2hsFPeCZt2thBYCryE-WEhepf5cI.jpg?v=1714314034")</f>
        <v/>
      </c>
      <c r="H478" s="4" t="inlineStr">
        <is>
          <t>https://betocosmetics.com/products/cocopulp-lait-clarifiant-lightening-soap</t>
        </is>
      </c>
      <c r="I478" s="4" t="inlineStr">
        <is>
          <t>Beto Cosmetics (revendeur)</t>
        </is>
      </c>
      <c r="J478" s="4" t="inlineStr">
        <is>
          <t>Gamme éclaircissante : à ne pas mettre en avant</t>
        </is>
      </c>
    </row>
  </sheetData>
  <autoFilter ref="A4:J4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6" t="inlineStr">
        <is>
          <t>Marque</t>
        </is>
      </c>
      <c r="B1" s="6" t="inlineStr">
        <is>
          <t>Sous-gamme</t>
        </is>
      </c>
      <c r="C1" s="6" t="inlineStr">
        <is>
          <t>Nombre de produits (site)</t>
        </is>
      </c>
    </row>
    <row r="2">
      <c r="A2" t="inlineStr">
        <is>
          <t>Day by Day</t>
        </is>
      </c>
      <c r="B2" t="inlineStr">
        <is>
          <t>Day by day</t>
        </is>
      </c>
      <c r="C2" t="n">
        <v>34</v>
      </c>
    </row>
    <row r="3">
      <c r="A3" t="inlineStr">
        <is>
          <t>Day by Day</t>
        </is>
      </c>
      <c r="B3" t="inlineStr">
        <is>
          <t>Day by Day Women</t>
        </is>
      </c>
      <c r="C3" t="n">
        <v>23</v>
      </c>
    </row>
    <row r="4">
      <c r="A4" t="inlineStr">
        <is>
          <t>Day by Day</t>
        </is>
      </c>
      <c r="B4" t="inlineStr">
        <is>
          <t>Day by day Men</t>
        </is>
      </c>
      <c r="C4" t="n">
        <v>18</v>
      </c>
    </row>
    <row r="5">
      <c r="A5" t="inlineStr">
        <is>
          <t>Day by Day</t>
        </is>
      </c>
      <c r="B5" t="inlineStr">
        <is>
          <t>Day by Day Men sport</t>
        </is>
      </c>
      <c r="C5" t="n">
        <v>11</v>
      </c>
    </row>
    <row r="6">
      <c r="A6" t="inlineStr">
        <is>
          <t>Day by Day</t>
        </is>
      </c>
      <c r="B6" t="inlineStr">
        <is>
          <t>Day by Day Baby</t>
        </is>
      </c>
      <c r="C6" t="n">
        <v>7</v>
      </c>
    </row>
    <row r="7">
      <c r="A7" t="inlineStr">
        <is>
          <t>Day by Day</t>
        </is>
      </c>
      <c r="B7" t="inlineStr">
        <is>
          <t>Day by Day Kids</t>
        </is>
      </c>
      <c r="C7" t="n">
        <v>7</v>
      </c>
    </row>
    <row r="8">
      <c r="A8" t="inlineStr">
        <is>
          <t>Day by Day</t>
        </is>
      </c>
      <c r="B8" t="inlineStr">
        <is>
          <t>Day by day lip butter</t>
        </is>
      </c>
      <c r="C8" t="n">
        <v>4</v>
      </c>
    </row>
    <row r="9">
      <c r="A9" t="inlineStr">
        <is>
          <t>Day by Day</t>
        </is>
      </c>
      <c r="B9" t="inlineStr">
        <is>
          <t>Day by day protect</t>
        </is>
      </c>
      <c r="C9" t="n">
        <v>4</v>
      </c>
    </row>
    <row r="10">
      <c r="A10" t="inlineStr">
        <is>
          <t>Day by Day</t>
        </is>
      </c>
      <c r="B10" t="inlineStr">
        <is>
          <t>Day by day soin mains</t>
        </is>
      </c>
      <c r="C10" t="n">
        <v>3</v>
      </c>
    </row>
    <row r="11">
      <c r="A11" t="inlineStr">
        <is>
          <t>Paw Paw</t>
        </is>
      </c>
      <c r="B11" t="inlineStr"/>
      <c r="C11" t="n">
        <v>9</v>
      </c>
    </row>
    <row r="12">
      <c r="A12" t="inlineStr">
        <is>
          <t>Cocopulp</t>
        </is>
      </c>
      <c r="B12" t="inlineStr"/>
      <c r="C12" t="n">
        <v>6</v>
      </c>
    </row>
    <row r="13">
      <c r="A13" t="inlineStr">
        <is>
          <t>Dermaskin</t>
        </is>
      </c>
      <c r="B13" t="inlineStr"/>
      <c r="C13" t="n">
        <v>8</v>
      </c>
    </row>
    <row r="14">
      <c r="A14" t="inlineStr">
        <is>
          <t>Biolight</t>
        </is>
      </c>
      <c r="B14" t="inlineStr"/>
      <c r="C14" t="n">
        <v>7</v>
      </c>
    </row>
    <row r="15">
      <c r="A15" t="inlineStr">
        <is>
          <t>Clear Therapy</t>
        </is>
      </c>
      <c r="B15" t="inlineStr"/>
      <c r="C15" t="n">
        <v>12</v>
      </c>
    </row>
    <row r="16">
      <c r="A16" t="inlineStr">
        <is>
          <t>Babymed</t>
        </is>
      </c>
      <c r="B16" t="inlineStr"/>
      <c r="C16" t="n">
        <v>12</v>
      </c>
    </row>
    <row r="17">
      <c r="A17" t="inlineStr">
        <is>
          <t>Dreamy</t>
        </is>
      </c>
      <c r="B17" t="inlineStr"/>
      <c r="C17" t="n">
        <v>6</v>
      </c>
    </row>
    <row r="18">
      <c r="A18" t="inlineStr">
        <is>
          <t>Sign</t>
        </is>
      </c>
      <c r="B18" t="inlineStr"/>
      <c r="C18" t="n">
        <v>6</v>
      </c>
    </row>
    <row r="19">
      <c r="A19" t="inlineStr">
        <is>
          <t>Slam</t>
        </is>
      </c>
      <c r="B19" t="inlineStr"/>
      <c r="C19" t="n">
        <v>5</v>
      </c>
    </row>
    <row r="20">
      <c r="A20" t="inlineStr">
        <is>
          <t>I love</t>
        </is>
      </c>
      <c r="B20" t="inlineStr"/>
      <c r="C20" t="n">
        <v>7</v>
      </c>
    </row>
    <row r="21">
      <c r="A21" t="inlineStr">
        <is>
          <t>Al Nassib</t>
        </is>
      </c>
      <c r="B21" t="inlineStr"/>
      <c r="C21" t="n">
        <v>6</v>
      </c>
    </row>
    <row r="22">
      <c r="A22" t="inlineStr">
        <is>
          <t>Always young</t>
        </is>
      </c>
      <c r="B22" t="inlineStr"/>
      <c r="C22" t="n">
        <v>6</v>
      </c>
    </row>
    <row r="23">
      <c r="A23" t="inlineStr">
        <is>
          <t>Aqualis</t>
        </is>
      </c>
      <c r="B23" t="inlineStr"/>
      <c r="C23" t="n">
        <v>25</v>
      </c>
    </row>
    <row r="24">
      <c r="A24" t="inlineStr">
        <is>
          <t>Babiya</t>
        </is>
      </c>
      <c r="B24" t="inlineStr"/>
      <c r="C24" t="n">
        <v>10</v>
      </c>
    </row>
    <row r="25">
      <c r="A25" t="inlineStr">
        <is>
          <t>Bactigel</t>
        </is>
      </c>
      <c r="B25" t="inlineStr"/>
      <c r="C25" t="n">
        <v>12</v>
      </c>
    </row>
    <row r="26">
      <c r="A26" t="inlineStr">
        <is>
          <t>Black star</t>
        </is>
      </c>
      <c r="B26" t="inlineStr"/>
      <c r="C26" t="n">
        <v>3</v>
      </c>
    </row>
    <row r="27">
      <c r="A27" t="inlineStr">
        <is>
          <t>Boa Family</t>
        </is>
      </c>
      <c r="B27" t="inlineStr"/>
      <c r="C27" t="n">
        <v>5</v>
      </c>
    </row>
    <row r="28">
      <c r="A28" t="inlineStr">
        <is>
          <t>Boudchou</t>
        </is>
      </c>
      <c r="B28" t="inlineStr"/>
      <c r="C28" t="n">
        <v>22</v>
      </c>
    </row>
    <row r="29">
      <c r="A29" t="inlineStr">
        <is>
          <t>Carowhite</t>
        </is>
      </c>
      <c r="B29" t="inlineStr"/>
      <c r="C29" t="n">
        <v>11</v>
      </c>
    </row>
    <row r="30">
      <c r="A30" t="inlineStr">
        <is>
          <t>Citrolight</t>
        </is>
      </c>
      <c r="B30" t="inlineStr"/>
      <c r="C30" t="n">
        <v>7</v>
      </c>
    </row>
    <row r="31">
      <c r="A31" t="inlineStr">
        <is>
          <t>Clairmen</t>
        </is>
      </c>
      <c r="B31" t="inlineStr"/>
      <c r="C31" t="n">
        <v>6</v>
      </c>
    </row>
    <row r="32">
      <c r="A32" t="inlineStr">
        <is>
          <t>Curcuma method</t>
        </is>
      </c>
      <c r="B32" t="inlineStr"/>
      <c r="C32" t="n">
        <v>5</v>
      </c>
    </row>
    <row r="33">
      <c r="A33" t="inlineStr">
        <is>
          <t>Dr Wang</t>
        </is>
      </c>
      <c r="B33" t="inlineStr"/>
      <c r="C33" t="n">
        <v>6</v>
      </c>
    </row>
    <row r="34">
      <c r="A34" t="inlineStr">
        <is>
          <t>Even Better</t>
        </is>
      </c>
      <c r="B34" t="inlineStr"/>
      <c r="C34" t="n">
        <v>4</v>
      </c>
    </row>
    <row r="35">
      <c r="A35" t="inlineStr">
        <is>
          <t>Fres</t>
        </is>
      </c>
      <c r="B35" t="inlineStr"/>
      <c r="C35" t="n">
        <v>21</v>
      </c>
    </row>
    <row r="36">
      <c r="A36" t="inlineStr">
        <is>
          <t>Hit</t>
        </is>
      </c>
      <c r="B36" t="inlineStr"/>
      <c r="C36" t="n">
        <v>5</v>
      </c>
    </row>
    <row r="37">
      <c r="A37" t="inlineStr">
        <is>
          <t>Hydralux</t>
        </is>
      </c>
      <c r="B37" t="inlineStr"/>
      <c r="C37" t="n">
        <v>4</v>
      </c>
    </row>
    <row r="38">
      <c r="A38" t="inlineStr">
        <is>
          <t>Ibiza</t>
        </is>
      </c>
      <c r="B38" t="inlineStr"/>
      <c r="C38" t="n">
        <v>5</v>
      </c>
    </row>
    <row r="39">
      <c r="A39" t="inlineStr">
        <is>
          <t>Infini Clear</t>
        </is>
      </c>
      <c r="B39" t="inlineStr"/>
      <c r="C39" t="n">
        <v>8</v>
      </c>
    </row>
    <row r="40">
      <c r="A40" t="inlineStr">
        <is>
          <t>Lea</t>
        </is>
      </c>
      <c r="B40" t="inlineStr"/>
      <c r="C40" t="n">
        <v>5</v>
      </c>
    </row>
    <row r="41">
      <c r="A41" t="inlineStr">
        <is>
          <t>Les authentiques</t>
        </is>
      </c>
      <c r="B41" t="inlineStr"/>
      <c r="C41" t="n">
        <v>6</v>
      </c>
    </row>
    <row r="42">
      <c r="A42" t="inlineStr">
        <is>
          <t>Medi +</t>
        </is>
      </c>
      <c r="B42" t="inlineStr"/>
      <c r="C42" t="n">
        <v>3</v>
      </c>
    </row>
    <row r="43">
      <c r="A43" t="inlineStr">
        <is>
          <t>Miss</t>
        </is>
      </c>
      <c r="B43" t="inlineStr"/>
      <c r="C43" t="n">
        <v>8</v>
      </c>
    </row>
    <row r="44">
      <c r="A44" t="inlineStr">
        <is>
          <t>Perfect white</t>
        </is>
      </c>
      <c r="B44" t="inlineStr"/>
      <c r="C44" t="n">
        <v>7</v>
      </c>
    </row>
    <row r="45">
      <c r="A45" t="inlineStr">
        <is>
          <t>Perle claire</t>
        </is>
      </c>
      <c r="B45" t="inlineStr"/>
      <c r="C45" t="n">
        <v>4</v>
      </c>
    </row>
    <row r="46">
      <c r="A46" t="inlineStr">
        <is>
          <t>Pili-pili method</t>
        </is>
      </c>
      <c r="B46" t="inlineStr"/>
      <c r="C46" t="n">
        <v>5</v>
      </c>
    </row>
    <row r="47">
      <c r="A47" t="inlineStr">
        <is>
          <t>Pretty White</t>
        </is>
      </c>
      <c r="B47" t="inlineStr"/>
      <c r="C47" t="n">
        <v>9</v>
      </c>
    </row>
    <row r="48">
      <c r="A48" t="inlineStr">
        <is>
          <t>Spring</t>
        </is>
      </c>
      <c r="B48" t="inlineStr"/>
      <c r="C48" t="n">
        <v>18</v>
      </c>
    </row>
    <row r="49">
      <c r="A49" t="inlineStr">
        <is>
          <t>Stars</t>
        </is>
      </c>
      <c r="B49" t="inlineStr"/>
      <c r="C49" t="n">
        <v>6</v>
      </c>
    </row>
    <row r="50">
      <c r="A50" t="inlineStr">
        <is>
          <t>Vip</t>
        </is>
      </c>
      <c r="B50" t="inlineStr"/>
      <c r="C50" t="n">
        <v>13</v>
      </c>
    </row>
    <row r="52">
      <c r="A52" t="inlineStr">
        <is>
          <t>Total</t>
        </is>
      </c>
      <c r="B52" t="inlineStr"/>
      <c r="C52" t="n">
        <v>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Sources : catalogue du site dreamcosmetics.net (relevé le 28/10/2026, 444 produits), Lady Edna et Beto Cosmetics (revendeurs en ligne).</t>
        </is>
      </c>
    </row>
    <row r="2">
      <c r="A2" s="7" t="inlineStr">
        <is>
          <t>Le site est instable : certaines pages renvoient une erreur. Le catalogue a été relevé page par page ; des produits retirés du site peuvent manquer.</t>
        </is>
      </c>
    </row>
    <row r="3">
      <c r="A3" s="7" t="inlineStr">
        <is>
          <t>Formats : relevés sur les fiches produit quand elles se sont ouvertes. Sinon, « à confirmer ».</t>
        </is>
      </c>
    </row>
    <row r="4">
      <c r="A4" s="7" t="inlineStr">
        <is>
          <t>Photos : celles du site Dream Cosmetics, ou du revendeur quand le produit vient d’un revendeur.</t>
        </is>
      </c>
    </row>
    <row r="5">
      <c r="A5" s="7" t="inlineStr">
        <is>
          <t>Aucun prix n’est repris.</t>
        </is>
      </c>
    </row>
    <row r="6">
      <c r="A6" s="7" t="inlineStr">
        <is>
          <t>Gammes éclaircissantes (Carowhite, Perfect White, Pretty White, Infini Clear, Perle Claire, Citrolight, Clairmen) : listées pour être complet, signalées, à ne pas mettre en avant.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2026-10-28T20:52:03Z</dcterms:created>
  <dcterms:modified xmlns:dcterms="http://purl.org/dc/terms/" xmlns:xsi="http://www.w3.org/2001/XMLSchema-instance" xsi:type="dcterms:W3CDTF">2026-10-28T20:52:03Z</dcterms:modified>
</cp:coreProperties>
</file>